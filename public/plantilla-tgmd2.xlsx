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040" yWindow="1395" windowWidth="23430" windowHeight="12885"/>
  </bookViews>
  <sheets>
    <sheet sheetId="1" name="TGMD blanco" state="visible" r:id="rId4"/>
  </sheets>
  <calcPr calcId="171027"/>
</workbook>
</file>

<file path=xl/sharedStrings.xml><?xml version="1.0" encoding="utf-8"?>
<sst xmlns="http://schemas.openxmlformats.org/spreadsheetml/2006/main" count="245" uniqueCount="109">
  <si>
    <r>
      <rPr>
        <color theme="1"/>
        <sz val="48"/>
        <rFont val="Georgia"/>
      </rPr>
      <t>TGMD 2</t>
    </r>
  </si>
  <si>
    <r>
      <rPr>
        <color theme="1"/>
        <sz val="12"/>
        <rFont val="Times New Roman"/>
      </rPr>
      <t xml:space="preserve">Test of Gross Motor                                                  </t>
    </r>
    <r>
      <rPr>
        <b/>
        <color theme="1"/>
        <sz val="12"/>
        <rFont val="Times New Roman"/>
      </rPr>
      <t xml:space="preserve">
</t>
    </r>
    <r>
      <rPr>
        <color theme="1"/>
        <sz val="12"/>
        <rFont val="Times New Roman"/>
      </rPr>
      <t>Development -Second Edition</t>
    </r>
  </si>
  <si>
    <t>Hoja de Documentación</t>
  </si>
  <si>
    <t>Sección I: Información General</t>
  </si>
  <si>
    <t xml:space="preserve">Nombre del Evaluador </t>
  </si>
  <si>
    <t>Nombre del Niño</t>
  </si>
  <si>
    <t xml:space="preserve">Fecha de Nacimiento: </t>
  </si>
  <si>
    <t>Dia</t>
  </si>
  <si>
    <t>mes</t>
  </si>
  <si>
    <t>año</t>
  </si>
  <si>
    <t xml:space="preserve">Masculino  </t>
  </si>
  <si>
    <t xml:space="preserve">Femenino   </t>
  </si>
  <si>
    <t>Sección II: Registro de puntuaciones</t>
  </si>
  <si>
    <t>Primera Evaluación</t>
  </si>
  <si>
    <t xml:space="preserve">Edad: </t>
  </si>
  <si>
    <t>Segunda Evaluación</t>
  </si>
  <si>
    <t>Raw Score</t>
  </si>
  <si>
    <t>Standar Score</t>
  </si>
  <si>
    <t>Percentil</t>
  </si>
  <si>
    <t>Edad Equivalente</t>
  </si>
  <si>
    <t>Locomoción</t>
  </si>
  <si>
    <t>Control de Objetos</t>
  </si>
  <si>
    <t>Suma de puntuaciones estándar</t>
  </si>
  <si>
    <t>Percentil rank</t>
  </si>
  <si>
    <t>Cociente motor grueso (GMQ)</t>
  </si>
  <si>
    <t>Cociente motor grueso  (GMQ)</t>
  </si>
  <si>
    <t>Descriptive Rating</t>
  </si>
  <si>
    <t>Sección III: Registro de puntuaciones</t>
  </si>
  <si>
    <t>Sección IV: Registro de desempeño de las subpruebas.</t>
  </si>
  <si>
    <t>Mano Preferida:</t>
  </si>
  <si>
    <t>Derecha</t>
  </si>
  <si>
    <t xml:space="preserve">Izquierda </t>
  </si>
  <si>
    <t>No Establecida</t>
  </si>
  <si>
    <t>Pie Preferido:</t>
  </si>
  <si>
    <t>Sub-Prueba de Destrezas Locomotoras</t>
  </si>
  <si>
    <r>
      <rPr>
        <b/>
        <color theme="1"/>
        <sz val="12"/>
        <rFont val="Times New Roman"/>
      </rPr>
      <t>Destreza</t>
    </r>
  </si>
  <si>
    <r>
      <rPr>
        <b/>
        <color theme="1"/>
        <sz val="12"/>
        <rFont val="Times New Roman"/>
      </rPr>
      <t>Criterios de Ejecución</t>
    </r>
  </si>
  <si>
    <r>
      <rPr>
        <b/>
        <color theme="1"/>
        <sz val="10"/>
        <rFont val="Times New Roman"/>
      </rPr>
      <t>Intento1</t>
    </r>
  </si>
  <si>
    <r>
      <rPr>
        <b/>
        <color theme="1"/>
        <sz val="10"/>
        <rFont val="Times New Roman"/>
      </rPr>
      <t>Intento 2</t>
    </r>
  </si>
  <si>
    <t>Puntuación</t>
  </si>
  <si>
    <r>
      <rPr>
        <b/>
        <color theme="1"/>
        <sz val="10"/>
        <rFont val="Times New Roman"/>
      </rPr>
      <t>Puntuación</t>
    </r>
  </si>
  <si>
    <t>Cantidad</t>
  </si>
  <si>
    <t>Total</t>
  </si>
  <si>
    <t>%</t>
  </si>
  <si>
    <r>
      <rPr>
        <b/>
        <color theme="1"/>
        <sz val="12"/>
        <rFont val="Times New Roman"/>
      </rPr>
      <t>Correr</t>
    </r>
  </si>
  <si>
    <r>
      <rPr>
        <color theme="1"/>
        <sz val="10"/>
        <rFont val="Times New Roman"/>
      </rPr>
      <t>1)    Brazos se mueven en oposición a piernas y los codos doblados.</t>
    </r>
  </si>
  <si>
    <r>
      <rPr>
        <color theme="1"/>
        <sz val="10"/>
        <rFont val="Times New Roman"/>
      </rPr>
      <t>2)    Breve periodo donde ambos pies están fuera del suelo.</t>
    </r>
  </si>
  <si>
    <t>3)     No aterriza delante de la cadera o con pie plano y pesado.</t>
  </si>
  <si>
    <r>
      <rPr>
        <color theme="1"/>
        <sz val="10"/>
        <rFont val="Times New Roman"/>
      </rPr>
      <t>4)    La pierna de no soporte esta doblada aproximadamente a 90 grados.</t>
    </r>
  </si>
  <si>
    <t>Puntuación de la destreza</t>
  </si>
  <si>
    <r>
      <rPr>
        <b/>
        <color theme="1"/>
        <sz val="12"/>
        <rFont val="Times New Roman"/>
      </rPr>
      <t>Galope</t>
    </r>
  </si>
  <si>
    <r>
      <rPr>
        <color theme="1"/>
        <sz val="10"/>
        <rFont val="Times New Roman"/>
      </rPr>
      <t>1)    Brazos doblados y levantados a nivel de cintura al momento de despegue.</t>
    </r>
  </si>
  <si>
    <t>2)    Un paso hacia el frente con el pie líder seguido de un paso por el pie seguidor. El pie seguidor va en una posición adyacente o detrás del pie líder.</t>
  </si>
  <si>
    <r>
      <rPr>
        <color theme="1"/>
        <sz val="10"/>
        <rFont val="Times New Roman"/>
      </rPr>
      <t>3)    Un periodo breve donde ambos pies están fuera del suelo.</t>
    </r>
  </si>
  <si>
    <r>
      <rPr>
        <color theme="1"/>
        <sz val="10"/>
        <rFont val="Times New Roman"/>
      </rPr>
      <t>4)    Mantiene un patrón rítmico por al menos cuatro galopes consecutivos.</t>
    </r>
  </si>
  <si>
    <r>
      <rPr>
        <b/>
        <color theme="1"/>
        <sz val="12"/>
        <rFont val="Times New Roman"/>
      </rPr>
      <t>Salto en un Pie</t>
    </r>
  </si>
  <si>
    <t>1)    La pierna libre se mueve hacia el frente en pendulo para producir fuerza.</t>
  </si>
  <si>
    <r>
      <rPr>
        <color theme="1"/>
        <sz val="10"/>
        <rFont val="Times New Roman"/>
      </rPr>
      <t>2)    El pie de no apoyo se mantiene detrás del cuerpo.</t>
    </r>
  </si>
  <si>
    <r>
      <rPr>
        <color theme="1"/>
        <sz val="10"/>
        <rFont val="Times New Roman"/>
      </rPr>
      <t>3)    Brazos flexionados y se mueven hacia el frente para producir fuerza.</t>
    </r>
  </si>
  <si>
    <r>
      <rPr>
        <color theme="1"/>
        <sz val="10"/>
        <rFont val="Times New Roman"/>
      </rPr>
      <t>4)    Despega y aterriza tres veces consecutivas en el pie preferido.</t>
    </r>
  </si>
  <si>
    <r>
      <rPr>
        <color theme="1"/>
        <sz val="10"/>
        <rFont val="Times New Roman"/>
      </rPr>
      <t>5)    Despega y aterriza tres veces consecutivas en el pie no dominante.</t>
    </r>
  </si>
  <si>
    <r>
      <rPr>
        <b/>
        <color theme="1"/>
        <sz val="12"/>
        <rFont val="Times New Roman"/>
      </rPr>
      <t>Saltar sobre un Objeto</t>
    </r>
  </si>
  <si>
    <r>
      <rPr>
        <color theme="1"/>
        <sz val="10"/>
        <rFont val="Times New Roman"/>
      </rPr>
      <t>1)    Despega en un pie y aterriza con el pie opuesto.</t>
    </r>
  </si>
  <si>
    <t>2)    Hay un periodo donde ambos pies están fuera del suelo, esto por un periodo mas largo que al correr.</t>
  </si>
  <si>
    <r>
      <rPr>
        <color theme="1"/>
        <sz val="10"/>
        <rFont val="Times New Roman"/>
      </rPr>
      <t>3)    Extensión hacia el frente con el brazo opuesto al pie líder.</t>
    </r>
  </si>
  <si>
    <r>
      <rPr>
        <b/>
        <color theme="1"/>
        <sz val="12"/>
        <rFont val="Times New Roman"/>
      </rPr>
      <t>Salto Horizontal</t>
    </r>
  </si>
  <si>
    <t>1)    El movimiento preparatorio incluye flexión de ambas rodillas con los brazos extendidos detrás del cuerpo.</t>
  </si>
  <si>
    <t>2)    Los brazos se extienden con fuerza hacia el frente terminando extendidos sobre la cabeza. El cuerpo se extiende junto con los brazos.</t>
  </si>
  <si>
    <r>
      <rPr>
        <color theme="1"/>
        <sz val="10"/>
        <rFont val="Times New Roman"/>
      </rPr>
      <t>3)    Despega y aterriza en ambos pies simultáneamente.</t>
    </r>
  </si>
  <si>
    <r>
      <rPr>
        <color theme="1"/>
        <sz val="10"/>
        <rFont val="Times New Roman"/>
      </rPr>
      <t>4)    Los brazos se mueven hacia abajo durante el aterrizaje.</t>
    </r>
  </si>
  <si>
    <r>
      <rPr>
        <b/>
        <color theme="1"/>
        <sz val="12"/>
        <rFont val="Times New Roman"/>
      </rPr>
      <t>Deslizarse</t>
    </r>
  </si>
  <si>
    <t>1)    El cuerpo gira hacia el lado manteniendo los hombros alineados con la línea del piso.</t>
  </si>
  <si>
    <t>2)    Un paso hacia el lado con el pie líder seguido por un deslice del otro pie; donde el pie seguidor se acerca al pie líder.</t>
  </si>
  <si>
    <r>
      <rPr>
        <color theme="1"/>
        <sz val="10"/>
        <rFont val="Times New Roman"/>
      </rPr>
      <t>3)    Un mínimo de cuatro pasos cíclicos continuos hacia la derecha.</t>
    </r>
  </si>
  <si>
    <r>
      <rPr>
        <color theme="1"/>
        <sz val="10"/>
        <rFont val="Times New Roman"/>
      </rPr>
      <t>4)    Un mínimo de cuatro pasos cíclicos continuos hacia la izquierda.</t>
    </r>
  </si>
  <si>
    <t>Puntuacion de la sub-prueba de Locomoción</t>
  </si>
  <si>
    <t>TOTAL</t>
  </si>
  <si>
    <r>
      <rPr>
        <b/>
        <color theme="1"/>
        <sz val="12"/>
        <rFont val="Times New Roman"/>
      </rPr>
      <t>Sub-Prueba de Control de Objetos:</t>
    </r>
  </si>
  <si>
    <r>
      <rPr>
        <b/>
        <color theme="1"/>
        <sz val="12"/>
        <rFont val="Times New Roman"/>
      </rPr>
      <t>Batear</t>
    </r>
  </si>
  <si>
    <t>1)    Agarre del bate con la mano dominante sobre la no dominante.</t>
  </si>
  <si>
    <t>2)    El lado no dominante del cuerpo de frente al balon, con los pies en paralelo.</t>
  </si>
  <si>
    <t>3)    Rotación de cadera y hombros en el “swing”.</t>
  </si>
  <si>
    <r>
      <rPr>
        <color theme="1"/>
        <sz val="10"/>
        <rFont val="Times New Roman"/>
      </rPr>
      <t>4)    Transfiere el peso del cuerpo al pie del frente.</t>
    </r>
  </si>
  <si>
    <t>5)    Hay contacto con la pelota con el bate.</t>
  </si>
  <si>
    <t>Dribleo estacionario</t>
  </si>
  <si>
    <t>1)    El contacto con el balón esta al nivel de la cintura.</t>
  </si>
  <si>
    <t>2)    Empuja el balón con la yema de los dedos.  (no le pega con la mano).</t>
  </si>
  <si>
    <t>3)    El balón tiene contacto con el suelo al frente o al lado del pie del lado preferido.</t>
  </si>
  <si>
    <t>4)    Mantiene control del balón por cuatro veces consecutivas sin moverse a buscar el balón.</t>
  </si>
  <si>
    <r>
      <rPr>
        <b/>
        <color theme="1"/>
        <sz val="12"/>
        <rFont val="Times New Roman"/>
      </rPr>
      <t>Atrapar</t>
    </r>
  </si>
  <si>
    <t>1)    Fase de preparación  donde ambas manos están frente al cuerpo con codos flexionados.</t>
  </si>
  <si>
    <r>
      <rPr>
        <color theme="1"/>
        <sz val="10"/>
        <rFont val="Times New Roman"/>
      </rPr>
      <t>2)    Los brazos se extienden mientras buscan la pelota.</t>
    </r>
  </si>
  <si>
    <r>
      <rPr>
        <color theme="1"/>
        <sz val="10"/>
        <rFont val="Times New Roman"/>
      </rPr>
      <t>3)    La pelota es atrapada con ambas manos.</t>
    </r>
  </si>
  <si>
    <r>
      <rPr>
        <b/>
        <color theme="1"/>
        <sz val="12"/>
        <rFont val="Times New Roman"/>
      </rPr>
      <t>Patear</t>
    </r>
  </si>
  <si>
    <t>1)    Acercamiento al balón rapido y continuo.</t>
  </si>
  <si>
    <t>2) Antes del contacto con el balón, el niño extiende la pierna o da un salto hacia delante “leap” antes de hacer contacto con el balón.</t>
  </si>
  <si>
    <t>3) El pie que no patea está ubicado al lado o un poco detrás del balón.</t>
  </si>
  <si>
    <t>4)    Patea el balón con la parte frontal del pie (empeine)  o con la punta el pie.</t>
  </si>
  <si>
    <t>Lanzar Por encima del brazo</t>
  </si>
  <si>
    <t>1) Inicia con un movimiento hacia atras y encima de su brazo/mano.</t>
  </si>
  <si>
    <t>2) Rota la cadera y los hombros a un punto donde el lado con el que no está lanzando, se dirige hacia la pared.</t>
  </si>
  <si>
    <t>3) Tranfiere el peso pisando con el pie opuesto</t>
  </si>
  <si>
    <t>4) Hay un “follow-through” o seguimiento una vez lanzada la pelota. Suelta la pelota mientras su brazo se mueve en diagonal al cuerpo hacia el lado que no lanzó.</t>
  </si>
  <si>
    <t>Lanzar por debajo del brazo</t>
  </si>
  <si>
    <t>1) La mano preferida hace una movimeineto hacia atras llavando la pelota detras del tronco, mientras su pecho se encuentra en direccion a los conos.</t>
  </si>
  <si>
    <t xml:space="preserve">2) Pisa en direccion frontal a los conos, con el pie opuesto a la mano con la que lanza. </t>
  </si>
  <si>
    <t>3) Flexiona las rodillas.</t>
  </si>
  <si>
    <t>4) Deja caer la pelota cerca del piso y la pelota no rebota más de 4 pulgadas del suelo.</t>
  </si>
  <si>
    <t>Puntuacion de la sub-prueba de control de objetos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</si>
</sst>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-m"/>
    <numFmt numFmtId="165" formatCode="d&quot; de &quot;mmmm&quot; de &quot;yyyy"/>
  </numFmts>
  <fonts count="9" x14ac:knownFonts="1">
    <font>
      <color theme="1"/>
      <family val="2"/>
      <scheme val="minor"/>
      <sz val="11"/>
      <name val="Calibri"/>
    </font>
    <font>
      <color theme="1"/>
      <sz val="48"/>
      <name val="Georgia"/>
    </font>
    <font>
      <color theme="1"/>
      <sz val="12"/>
      <name val="Times New Roman"/>
    </font>
    <font>
      <sz val="10"/>
      <name val="Arial"/>
    </font>
    <font>
      <b/>
      <color theme="1"/>
      <sz val="12"/>
      <name val="Times New Roman"/>
    </font>
    <font>
      <color theme="1"/>
      <sz val="10"/>
      <name val="Times New Roman"/>
    </font>
    <font>
      <color rgb="FFFFFFFF"/>
      <sz val="12"/>
      <name val="Times New Roman"/>
    </font>
    <font>
      <b/>
      <color theme="1"/>
      <sz val="10"/>
      <name val="Times New Roman"/>
    </font>
    <font>
      <b/>
      <color theme="1"/>
      <sz val="1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0A0A0"/>
        <bgColor rgb="FFA0A0A0"/>
      </patternFill>
    </fill>
    <fill>
      <patternFill patternType="solid">
        <fgColor rgb="FFD9EAD3"/>
        <bgColor rgb="FFD9EAD3"/>
      </patternFill>
    </fill>
    <fill>
      <patternFill patternType="solid">
        <fgColor theme="7" tint="0.5999938962981048"/>
        <bgColor rgb="FFD9EAD3"/>
      </patternFill>
    </fill>
    <fill>
      <patternFill patternType="solid">
        <fgColor theme="5" tint="0.3999755851924192"/>
        <bgColor rgb="FFCFE2F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CFE2F3"/>
      </patternFill>
    </fill>
    <fill>
      <patternFill patternType="solid">
        <fgColor rgb="FFEAC9F9"/>
        <bgColor rgb="FFCFE2F3"/>
      </patternFill>
    </fill>
    <fill>
      <patternFill patternType="solid">
        <fgColor rgb="FFE19BAC"/>
        <bgColor rgb="FFCFE2F3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4" fillId="2" borderId="1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6" fillId="3" borderId="2" xfId="0" applyFont="1" applyFill="1" applyBorder="1" applyAlignment="1">
      <alignment horizontal="center" vertical="top" wrapText="1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3" borderId="6" xfId="0" applyFont="1" applyFill="1" applyBorder="1" applyAlignment="1">
      <alignment horizontal="center" vertical="top" wrapText="1"/>
    </xf>
    <xf numFmtId="0" fontId="3" fillId="0" borderId="5" xfId="0" applyFont="1" applyBorder="1"/>
    <xf numFmtId="0" fontId="3" fillId="0" borderId="7" xfId="0" applyFont="1" applyBorder="1"/>
    <xf numFmtId="0" fontId="7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2" fillId="0" borderId="0" xfId="0" applyFont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vertical="top"/>
    </xf>
    <xf numFmtId="0" fontId="5" fillId="0" borderId="9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5" fillId="0" borderId="11" xfId="0" applyFont="1" applyBorder="1" applyAlignment="1">
      <alignment vertical="top"/>
    </xf>
    <xf numFmtId="0" fontId="2" fillId="0" borderId="11" xfId="0" applyFont="1" applyBorder="1" applyAlignment="1">
      <alignment horizontal="center" vertical="top" wrapText="1"/>
    </xf>
    <xf numFmtId="0" fontId="5" fillId="0" borderId="0" xfId="0" applyFont="1"/>
    <xf numFmtId="0" fontId="3" fillId="0" borderId="9" xfId="0" applyFont="1" applyBorder="1"/>
    <xf numFmtId="0" fontId="2" fillId="2" borderId="12" xfId="0" applyFont="1" applyFill="1" applyBorder="1" applyAlignment="1">
      <alignment vertical="top"/>
    </xf>
    <xf numFmtId="0" fontId="4" fillId="0" borderId="0" xfId="0" applyFont="1" applyAlignment="1">
      <alignment vertical="top" wrapText="1"/>
    </xf>
    <xf numFmtId="165" fontId="4" fillId="0" borderId="10" xfId="0" applyNumberFormat="1" applyFont="1" applyBorder="1" applyAlignment="1">
      <alignment horizontal="center" vertical="top" wrapText="1"/>
    </xf>
    <xf numFmtId="165" fontId="4" fillId="0" borderId="2" xfId="0" applyNumberFormat="1" applyFont="1" applyBorder="1" applyAlignment="1">
      <alignment horizontal="center" vertical="top" wrapText="1"/>
    </xf>
    <xf numFmtId="0" fontId="4" fillId="0" borderId="13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13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13" xfId="0" applyFont="1" applyBorder="1" applyAlignment="1">
      <alignment horizontal="center" wrapText="1"/>
    </xf>
    <xf numFmtId="0" fontId="3" fillId="0" borderId="14" xfId="0" applyFont="1" applyBorder="1"/>
    <xf numFmtId="0" fontId="3" fillId="0" borderId="15" xfId="0" applyFont="1" applyBorder="1"/>
    <xf numFmtId="0" fontId="5" fillId="0" borderId="2" xfId="0" applyFont="1" applyBorder="1" applyAlignment="1">
      <alignment vertical="top"/>
    </xf>
    <xf numFmtId="0" fontId="5" fillId="4" borderId="13" xfId="0" applyFont="1" applyFill="1" applyBorder="1" applyAlignment="1">
      <alignment horizontal="center" vertical="top"/>
    </xf>
    <xf numFmtId="0" fontId="5" fillId="5" borderId="13" xfId="0" applyFont="1" applyFill="1" applyBorder="1" applyAlignment="1">
      <alignment horizontal="center" vertical="top"/>
    </xf>
    <xf numFmtId="0" fontId="4" fillId="6" borderId="13" xfId="0" applyFont="1" applyFill="1" applyBorder="1" applyAlignment="1">
      <alignment horizontal="center" vertical="top"/>
    </xf>
    <xf numFmtId="0" fontId="4" fillId="0" borderId="16" xfId="0" applyFont="1" applyBorder="1" applyAlignment="1">
      <alignment vertical="top" wrapText="1"/>
    </xf>
    <xf numFmtId="0" fontId="5" fillId="0" borderId="13" xfId="0" applyFont="1" applyBorder="1" applyAlignment="1">
      <alignment horizontal="center" vertical="top"/>
    </xf>
    <xf numFmtId="0" fontId="8" fillId="0" borderId="0" xfId="0" applyFont="1" applyAlignment="1">
      <alignment vertical="top"/>
    </xf>
    <xf numFmtId="0" fontId="7" fillId="0" borderId="13" xfId="0" applyFont="1" applyBorder="1" applyAlignment="1">
      <alignment vertical="top"/>
    </xf>
    <xf numFmtId="0" fontId="4" fillId="7" borderId="13" xfId="0" applyFont="1" applyFill="1" applyBorder="1" applyAlignment="1">
      <alignment horizontal="center" vertical="top"/>
    </xf>
    <xf numFmtId="0" fontId="4" fillId="8" borderId="13" xfId="0" applyFont="1" applyFill="1" applyBorder="1" applyAlignment="1">
      <alignment horizontal="center" vertical="top"/>
    </xf>
    <xf numFmtId="0" fontId="4" fillId="9" borderId="13" xfId="0" applyFont="1" applyFill="1" applyBorder="1" applyAlignment="1">
      <alignment horizontal="center" vertical="top"/>
    </xf>
    <xf numFmtId="0" fontId="4" fillId="10" borderId="1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3" fillId="0" borderId="11" xfId="0" applyFont="1" applyBorder="1"/>
    <xf numFmtId="0" fontId="3" fillId="0" borderId="14" xfId="0" applyFont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3" fillId="0" borderId="15" xfId="0" applyFont="1" applyBorder="1" applyAlignment="1">
      <alignment vertical="top"/>
    </xf>
    <xf numFmtId="0" fontId="4" fillId="0" borderId="16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838199</xdr:colOff>
      <xdr:row>2</xdr:row>
      <xdr:rowOff>0</xdr:rowOff>
    </xdr:from>
    <xdr:ext cx="2505075" cy="3057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3"/>
  <sheetViews>
    <sheetView workbookViewId="0" zoomScale="100" zoomScaleNormal="100">
      <selection activeCell="B2" sqref="B2"/>
    </sheetView>
  </sheetViews>
  <sheetFormatPr defaultRowHeight="15" outlineLevelRow="0" outlineLevelCol="0" x14ac:dyDescent="0.25"/>
  <sheetData>
    <row r="1" ht="6.75" customHeight="1" x14ac:dyDescent="0.25"/>
    <row r="2" ht="47.25" customHeight="1" spans="2:13" x14ac:dyDescent="0.25">
      <c r="B2" s="1" t="s">
        <v>0</v>
      </c>
      <c r="C2" s="1"/>
      <c r="D2" s="1"/>
      <c r="E2" s="2" t="s">
        <v>1</v>
      </c>
      <c r="F2" s="3"/>
      <c r="G2" s="3"/>
      <c r="H2" s="4" t="s">
        <v>2</v>
      </c>
      <c r="I2" s="3"/>
      <c r="J2" s="5"/>
      <c r="K2" s="5"/>
      <c r="L2" s="5"/>
      <c r="M2" s="5"/>
    </row>
    <row r="3" spans="2:13" x14ac:dyDescent="0.25">
      <c r="B3" s="6" t="s">
        <v>3</v>
      </c>
      <c r="C3" s="7"/>
      <c r="D3" s="7"/>
      <c r="E3" s="7"/>
      <c r="F3" s="7"/>
      <c r="G3" s="7"/>
      <c r="H3" s="7"/>
      <c r="I3" s="7"/>
      <c r="J3" s="8"/>
      <c r="K3" s="5"/>
      <c r="L3"/>
      <c r="M3"/>
    </row>
    <row r="4" spans="2:13" x14ac:dyDescent="0.25">
      <c r="B4" s="9" t="s">
        <v>4</v>
      </c>
      <c r="C4" s="9"/>
      <c r="D4" s="10"/>
      <c r="E4" s="10"/>
      <c r="F4" s="10"/>
      <c r="G4" s="9" t="s">
        <v>5</v>
      </c>
      <c r="H4" s="9"/>
      <c r="I4" s="10"/>
      <c r="J4" s="10"/>
      <c r="K4"/>
      <c r="L4"/>
      <c r="M4"/>
    </row>
    <row r="5" spans="2:13" x14ac:dyDescent="0.25">
      <c r="B5" s="11" t="s">
        <v>6</v>
      </c>
      <c r="C5" s="11"/>
      <c r="D5" t="s">
        <v>7</v>
      </c>
      <c r="E5" t="s">
        <v>8</v>
      </c>
      <c r="F5" t="s">
        <v>9</v>
      </c>
      <c r="G5" s="12" t="s">
        <v>10</v>
      </c>
      <c r="I5" t="s">
        <v>11</v>
      </c>
      <c r="J5" s="5"/>
      <c r="K5"/>
      <c r="L5"/>
      <c r="M5"/>
    </row>
    <row r="6" spans="2:13" x14ac:dyDescent="0.25">
      <c r="B6" s="13" t="s">
        <v>12</v>
      </c>
      <c r="C6" s="14"/>
      <c r="D6" s="14"/>
      <c r="E6" s="14"/>
      <c r="F6" s="14"/>
      <c r="G6" s="14"/>
      <c r="H6" s="14"/>
      <c r="I6" s="14"/>
      <c r="J6" s="15"/>
      <c r="K6"/>
      <c r="L6"/>
      <c r="M6"/>
    </row>
    <row r="7" spans="2:13" x14ac:dyDescent="0.25">
      <c r="B7" s="16" t="s">
        <v>13</v>
      </c>
      <c r="C7" s="14"/>
      <c r="D7" s="5" t="s">
        <v>14</v>
      </c>
      <c r="E7" s="5"/>
      <c r="F7" s="17"/>
      <c r="G7" s="16" t="s">
        <v>15</v>
      </c>
      <c r="H7" s="18"/>
      <c r="I7" s="19" t="s">
        <v>14</v>
      </c>
      <c r="J7" s="15"/>
      <c r="K7"/>
      <c r="L7"/>
      <c r="M7"/>
    </row>
    <row r="8" ht="25.5" customHeight="1" spans="2:13" x14ac:dyDescent="0.25">
      <c r="B8" s="20"/>
      <c r="C8" s="21" t="s">
        <v>16</v>
      </c>
      <c r="D8" s="21" t="s">
        <v>17</v>
      </c>
      <c r="E8" s="21" t="s">
        <v>18</v>
      </c>
      <c r="F8" s="22" t="s">
        <v>19</v>
      </c>
      <c r="G8" s="21" t="s">
        <v>16</v>
      </c>
      <c r="H8" s="21" t="s">
        <v>17</v>
      </c>
      <c r="I8" s="21" t="s">
        <v>18</v>
      </c>
      <c r="J8" s="22" t="s">
        <v>19</v>
      </c>
      <c r="K8"/>
      <c r="L8"/>
      <c r="M8"/>
    </row>
    <row r="9" ht="15.75" customHeight="1" spans="2:13" x14ac:dyDescent="0.25">
      <c r="B9" s="23" t="s">
        <v>20</v>
      </c>
      <c r="C9" s="24">
        <f>(J55)</f>
        <v>0</v>
      </c>
      <c r="D9" s="24"/>
      <c r="E9" s="24"/>
      <c r="F9" s="25"/>
      <c r="G9" s="26">
        <f>(M55)</f>
        <v>0</v>
      </c>
      <c r="H9" s="24"/>
      <c r="I9" s="24"/>
      <c r="J9" s="25"/>
      <c r="K9"/>
      <c r="L9"/>
      <c r="M9"/>
    </row>
    <row r="10" ht="15.75" customHeight="1" spans="2:13" x14ac:dyDescent="0.25">
      <c r="B10" s="23" t="s">
        <v>21</v>
      </c>
      <c r="C10" s="24">
        <f>(J93)</f>
        <v>0</v>
      </c>
      <c r="D10" s="24"/>
      <c r="E10" s="24"/>
      <c r="F10" s="27"/>
      <c r="G10" s="26">
        <f>(M93)</f>
        <v>0</v>
      </c>
      <c r="H10" s="24"/>
      <c r="I10" s="24"/>
      <c r="J10" s="25"/>
      <c r="K10"/>
      <c r="L10"/>
      <c r="M10"/>
    </row>
    <row r="11" ht="15.75" customHeight="1" spans="2:13" x14ac:dyDescent="0.25">
      <c r="B11" s="23" t="s">
        <v>22</v>
      </c>
      <c r="C11" s="5"/>
      <c r="D11" s="28">
        <f>(D9+D10)</f>
        <v>0</v>
      </c>
      <c r="E11" s="29" t="s">
        <v>23</v>
      </c>
      <c r="F11" s="30"/>
      <c r="G11" s="23" t="s">
        <v>22</v>
      </c>
      <c r="H11" s="5"/>
      <c r="I11" s="28">
        <f>(I9+I10)</f>
        <v>0</v>
      </c>
      <c r="J11" s="31" t="s">
        <v>23</v>
      </c>
      <c r="K11"/>
      <c r="L11"/>
      <c r="M11"/>
    </row>
    <row r="12" ht="15.75" customHeight="1" spans="2:13" x14ac:dyDescent="0.25">
      <c r="B12" s="32" t="s">
        <v>24</v>
      </c>
      <c r="C12" s="33"/>
      <c r="D12" s="34"/>
      <c r="E12" s="34"/>
      <c r="F12" s="35"/>
      <c r="G12" s="32" t="s">
        <v>25</v>
      </c>
      <c r="H12" s="33"/>
      <c r="I12" s="34"/>
      <c r="J12" s="36"/>
      <c r="K12"/>
      <c r="L12"/>
      <c r="M12"/>
    </row>
    <row r="13" spans="2:13" x14ac:dyDescent="0.25">
      <c r="B13" s="23" t="s">
        <v>26</v>
      </c>
      <c r="C13" s="5"/>
      <c r="D13" s="37"/>
      <c r="E13" s="5"/>
      <c r="F13" s="5"/>
      <c r="G13" s="23" t="s">
        <v>26</v>
      </c>
      <c r="I13" s="37"/>
      <c r="J13" s="38"/>
      <c r="K13"/>
      <c r="L13"/>
      <c r="M13"/>
    </row>
    <row r="14" spans="2:13" x14ac:dyDescent="0.25">
      <c r="B14" s="13" t="s">
        <v>27</v>
      </c>
      <c r="C14" s="14"/>
      <c r="D14" s="14"/>
      <c r="E14" s="14"/>
      <c r="F14" s="14"/>
      <c r="G14" s="14"/>
      <c r="H14" s="14"/>
      <c r="I14" s="14"/>
      <c r="J14" s="15"/>
      <c r="K14"/>
      <c r="L14"/>
      <c r="M14"/>
    </row>
    <row r="15" spans="2:13" x14ac:dyDescent="0.25">
      <c r="B15" s="13" t="s">
        <v>28</v>
      </c>
      <c r="C15" s="14"/>
      <c r="D15" s="14"/>
      <c r="E15" s="14"/>
      <c r="F15" s="14"/>
      <c r="G15" s="14"/>
      <c r="H15" s="14"/>
      <c r="I15" s="14"/>
      <c r="J15" s="15"/>
      <c r="K15"/>
      <c r="L15"/>
      <c r="M15"/>
    </row>
    <row r="16" ht="15.75" customHeight="1" spans="2:13" x14ac:dyDescent="0.25">
      <c r="B16" s="23" t="s">
        <v>29</v>
      </c>
      <c r="C16" s="39" t="s">
        <v>30</v>
      </c>
      <c r="D16" s="39" t="s">
        <v>31</v>
      </c>
      <c r="E16" s="39" t="s">
        <v>32</v>
      </c>
      <c r="F16" s="5"/>
      <c r="G16" s="39" t="s">
        <v>30</v>
      </c>
      <c r="H16" s="39" t="s">
        <v>31</v>
      </c>
      <c r="I16" s="39" t="s">
        <v>32</v>
      </c>
      <c r="J16" s="30"/>
      <c r="K16"/>
      <c r="L16"/>
      <c r="M16"/>
    </row>
    <row r="17" ht="15.75" customHeight="1" spans="2:13" x14ac:dyDescent="0.25">
      <c r="B17" s="32" t="s">
        <v>33</v>
      </c>
      <c r="C17" s="39" t="s">
        <v>30</v>
      </c>
      <c r="D17" s="39" t="s">
        <v>31</v>
      </c>
      <c r="E17" s="39" t="s">
        <v>32</v>
      </c>
      <c r="F17" s="33"/>
      <c r="G17" s="39" t="s">
        <v>30</v>
      </c>
      <c r="H17" s="39" t="s">
        <v>31</v>
      </c>
      <c r="I17" s="39" t="s">
        <v>32</v>
      </c>
      <c r="J17" s="35"/>
      <c r="K17"/>
      <c r="L17"/>
      <c r="M17"/>
    </row>
    <row r="18" spans="2:19" x14ac:dyDescent="0.25">
      <c r="B18" s="40" t="s">
        <v>34</v>
      </c>
      <c r="C18"/>
      <c r="D18"/>
      <c r="E18"/>
      <c r="F18"/>
      <c r="G18"/>
      <c r="H18" s="41"/>
      <c r="I18" s="3"/>
      <c r="J18" s="8"/>
      <c r="K18" s="42"/>
      <c r="L18" s="7"/>
      <c r="M18" s="8"/>
      <c r="N18" s="41">
        <f>H18</f>
        <v>45642</v>
      </c>
      <c r="O18" s="3"/>
      <c r="P18" s="8"/>
      <c r="Q18" s="41">
        <f>K18</f>
        <v>45644</v>
      </c>
      <c r="R18" s="3"/>
      <c r="S18" s="8"/>
    </row>
    <row r="19" ht="15.75" customHeight="1" spans="2:19" x14ac:dyDescent="0.25">
      <c r="B19" s="43" t="s">
        <v>35</v>
      </c>
      <c r="C19" s="44" t="s">
        <v>36</v>
      </c>
      <c r="D19" s="7"/>
      <c r="E19" s="7"/>
      <c r="F19" s="7"/>
      <c r="G19" s="8"/>
      <c r="H19" s="45" t="s">
        <v>37</v>
      </c>
      <c r="I19" s="45" t="s">
        <v>38</v>
      </c>
      <c r="J19" s="45" t="s">
        <v>39</v>
      </c>
      <c r="K19" s="45" t="s">
        <v>37</v>
      </c>
      <c r="L19" s="45" t="s">
        <v>38</v>
      </c>
      <c r="M19" s="45" t="s">
        <v>40</v>
      </c>
      <c r="N19" t="s">
        <v>41</v>
      </c>
      <c r="O19" t="s">
        <v>42</v>
      </c>
      <c r="P19" t="s">
        <v>43</v>
      </c>
      <c r="Q19" t="s">
        <v>41</v>
      </c>
      <c r="R19" t="s">
        <v>42</v>
      </c>
      <c r="S19" t="s">
        <v>43</v>
      </c>
    </row>
    <row r="20" spans="2:13" x14ac:dyDescent="0.25">
      <c r="B20" s="46" t="s">
        <v>44</v>
      </c>
      <c r="C20" s="47" t="s">
        <v>45</v>
      </c>
      <c r="D20" s="7"/>
      <c r="E20" s="7"/>
      <c r="F20" s="7"/>
      <c r="G20" s="8"/>
      <c r="H20" s="48"/>
      <c r="I20" s="48"/>
      <c r="J20" s="48">
        <f t="shared" ref="J20:J23" si="0">(SUM(H20:I20))</f>
        <v>0</v>
      </c>
      <c r="K20" s="48"/>
      <c r="L20" s="48"/>
      <c r="M20" s="48">
        <f t="shared" ref="M20:M23" si="1">(SUM(K20:L20))</f>
        <v>0</v>
      </c>
    </row>
    <row r="21" spans="2:13" x14ac:dyDescent="0.25">
      <c r="B21" s="49"/>
      <c r="C21" s="47" t="s">
        <v>46</v>
      </c>
      <c r="D21" s="7"/>
      <c r="E21" s="7"/>
      <c r="F21" s="7"/>
      <c r="G21" s="8"/>
      <c r="H21" s="48"/>
      <c r="I21" s="48"/>
      <c r="J21" s="48">
        <f t="shared" si="0"/>
        <v>0</v>
      </c>
      <c r="K21" s="48"/>
      <c r="L21" s="48"/>
      <c r="M21" s="48">
        <f t="shared" si="1"/>
        <v>0</v>
      </c>
    </row>
    <row r="22" spans="2:13" x14ac:dyDescent="0.25">
      <c r="B22" s="49"/>
      <c r="C22" s="47" t="s">
        <v>47</v>
      </c>
      <c r="D22" s="7"/>
      <c r="E22" s="7"/>
      <c r="F22" s="7"/>
      <c r="G22" s="8"/>
      <c r="H22" s="48"/>
      <c r="I22" s="48"/>
      <c r="J22" s="48">
        <f t="shared" si="0"/>
        <v>0</v>
      </c>
      <c r="K22" s="48"/>
      <c r="L22" s="48"/>
      <c r="M22" s="48">
        <f t="shared" si="1"/>
        <v>0</v>
      </c>
    </row>
    <row r="23" spans="2:13" x14ac:dyDescent="0.25">
      <c r="B23" s="50"/>
      <c r="C23" s="47" t="s">
        <v>48</v>
      </c>
      <c r="D23" s="7"/>
      <c r="E23" s="7"/>
      <c r="F23" s="7"/>
      <c r="G23" s="8"/>
      <c r="H23" s="48"/>
      <c r="I23" s="48"/>
      <c r="J23" s="48">
        <f t="shared" si="0"/>
        <v>0</v>
      </c>
      <c r="K23" s="48"/>
      <c r="L23" s="48"/>
      <c r="M23" s="48">
        <f t="shared" si="1"/>
        <v>0</v>
      </c>
    </row>
    <row r="24" ht="15.75" customHeight="1" spans="2:19" x14ac:dyDescent="0.25">
      <c r="B24" s="5"/>
      <c r="C24"/>
      <c r="D24"/>
      <c r="E24"/>
      <c r="F24"/>
      <c r="G24" s="5"/>
      <c r="H24" s="51" t="s">
        <v>49</v>
      </c>
      <c r="I24" s="8"/>
      <c r="J24" s="52">
        <f>(SUM(J20:J23))</f>
        <v>0</v>
      </c>
      <c r="K24" s="51" t="s">
        <v>49</v>
      </c>
      <c r="L24" s="8"/>
      <c r="M24" s="52">
        <f>(SUM(M20:M23))</f>
        <v>0</v>
      </c>
      <c r="N24" s="53">
        <f>J24</f>
        <v>0</v>
      </c>
      <c r="O24" s="53">
        <v>8</v>
      </c>
      <c r="P24" s="54">
        <f>N24/O24*100</f>
        <v>0</v>
      </c>
      <c r="Q24" s="53">
        <f>M24</f>
        <v>0</v>
      </c>
      <c r="R24" s="53">
        <v>8</v>
      </c>
      <c r="S24" s="54">
        <f>Q24/R24*100</f>
        <v>0</v>
      </c>
    </row>
    <row r="25" ht="15.75" customHeight="1" spans="2:13" x14ac:dyDescent="0.25">
      <c r="B25" s="43" t="s">
        <v>35</v>
      </c>
      <c r="C25" s="44" t="s">
        <v>36</v>
      </c>
      <c r="D25" s="7"/>
      <c r="E25" s="7"/>
      <c r="F25" s="7"/>
      <c r="G25" s="8"/>
      <c r="H25" s="45" t="s">
        <v>37</v>
      </c>
      <c r="I25" s="45" t="s">
        <v>38</v>
      </c>
      <c r="J25" s="45" t="s">
        <v>40</v>
      </c>
      <c r="K25" s="45" t="s">
        <v>37</v>
      </c>
      <c r="L25" s="45" t="s">
        <v>38</v>
      </c>
      <c r="M25" s="45" t="s">
        <v>40</v>
      </c>
    </row>
    <row r="26" spans="2:13" x14ac:dyDescent="0.25">
      <c r="B26" s="55" t="s">
        <v>50</v>
      </c>
      <c r="C26" s="47" t="s">
        <v>51</v>
      </c>
      <c r="D26" s="7"/>
      <c r="E26" s="7"/>
      <c r="F26" s="7"/>
      <c r="G26" s="8"/>
      <c r="H26" s="48"/>
      <c r="I26" s="48"/>
      <c r="J26" s="48">
        <f t="shared" ref="J26:J29" si="2">(SUM(H26:I26))</f>
        <v>0</v>
      </c>
      <c r="K26" s="48"/>
      <c r="L26" s="48"/>
      <c r="M26" s="48">
        <f t="shared" ref="M26:M29" si="3">(SUM(K26:L26))</f>
        <v>0</v>
      </c>
    </row>
    <row r="27" spans="2:13" x14ac:dyDescent="0.25">
      <c r="B27" s="49"/>
      <c r="C27" s="47" t="s">
        <v>52</v>
      </c>
      <c r="D27" s="7"/>
      <c r="E27" s="7"/>
      <c r="F27" s="7"/>
      <c r="G27" s="8"/>
      <c r="H27" s="48"/>
      <c r="I27" s="48"/>
      <c r="J27" s="48">
        <f t="shared" si="2"/>
        <v>0</v>
      </c>
      <c r="K27" s="48"/>
      <c r="L27" s="48"/>
      <c r="M27" s="48">
        <f t="shared" si="3"/>
        <v>0</v>
      </c>
    </row>
    <row r="28" spans="2:13" x14ac:dyDescent="0.25">
      <c r="B28" s="49"/>
      <c r="C28" s="47" t="s">
        <v>53</v>
      </c>
      <c r="D28" s="7"/>
      <c r="E28" s="7"/>
      <c r="F28" s="7"/>
      <c r="G28" s="8"/>
      <c r="H28" s="48"/>
      <c r="I28" s="48"/>
      <c r="J28" s="48">
        <f t="shared" si="2"/>
        <v>0</v>
      </c>
      <c r="K28" s="48"/>
      <c r="L28" s="48"/>
      <c r="M28" s="48">
        <f t="shared" si="3"/>
        <v>0</v>
      </c>
    </row>
    <row r="29" spans="2:13" x14ac:dyDescent="0.25">
      <c r="B29" s="50"/>
      <c r="C29" s="47" t="s">
        <v>54</v>
      </c>
      <c r="D29" s="7"/>
      <c r="E29" s="7"/>
      <c r="F29" s="7"/>
      <c r="G29" s="8"/>
      <c r="H29" s="48"/>
      <c r="I29" s="48"/>
      <c r="J29" s="48">
        <f t="shared" si="2"/>
        <v>0</v>
      </c>
      <c r="K29" s="48"/>
      <c r="L29" s="48"/>
      <c r="M29" s="48">
        <f t="shared" si="3"/>
        <v>0</v>
      </c>
    </row>
    <row r="30" ht="15.75" customHeight="1" spans="2:19" x14ac:dyDescent="0.25">
      <c r="B30" s="5"/>
      <c r="C30"/>
      <c r="D30"/>
      <c r="E30"/>
      <c r="F30"/>
      <c r="G30" s="5"/>
      <c r="H30" s="51" t="s">
        <v>49</v>
      </c>
      <c r="I30" s="8"/>
      <c r="J30" s="52">
        <f>(SUM(J26:J29))</f>
        <v>0</v>
      </c>
      <c r="K30" s="51" t="s">
        <v>49</v>
      </c>
      <c r="L30" s="8"/>
      <c r="M30" s="52">
        <f>(SUM(M26:M29))</f>
        <v>0</v>
      </c>
      <c r="N30" s="53">
        <f>J30</f>
        <v>0</v>
      </c>
      <c r="O30" s="53">
        <v>8</v>
      </c>
      <c r="P30" s="54">
        <f>N30/O30*100</f>
        <v>0</v>
      </c>
      <c r="Q30" s="53">
        <f>M30</f>
        <v>0</v>
      </c>
      <c r="R30" s="53">
        <v>8</v>
      </c>
      <c r="S30" s="54">
        <f>Q30/R30*100</f>
        <v>0</v>
      </c>
    </row>
    <row r="31" ht="15.75" customHeight="1" spans="2:13" x14ac:dyDescent="0.25">
      <c r="B31" s="43" t="s">
        <v>35</v>
      </c>
      <c r="C31" s="44" t="s">
        <v>36</v>
      </c>
      <c r="D31" s="7"/>
      <c r="E31" s="7"/>
      <c r="F31" s="7"/>
      <c r="G31" s="8"/>
      <c r="H31" s="45" t="s">
        <v>37</v>
      </c>
      <c r="I31" s="45" t="s">
        <v>38</v>
      </c>
      <c r="J31" s="45" t="s">
        <v>40</v>
      </c>
      <c r="K31" s="45" t="s">
        <v>37</v>
      </c>
      <c r="L31" s="45" t="s">
        <v>38</v>
      </c>
      <c r="M31" s="45" t="s">
        <v>40</v>
      </c>
    </row>
    <row r="32" spans="2:13" x14ac:dyDescent="0.25">
      <c r="B32" s="55" t="s">
        <v>55</v>
      </c>
      <c r="C32" s="47" t="s">
        <v>56</v>
      </c>
      <c r="D32" s="7"/>
      <c r="E32" s="7"/>
      <c r="F32" s="7"/>
      <c r="G32" s="8"/>
      <c r="H32" s="48"/>
      <c r="I32" s="48"/>
      <c r="J32" s="48">
        <f t="shared" ref="J32:J36" si="4">(SUM(H32:I32))</f>
        <v>0</v>
      </c>
      <c r="K32" s="48"/>
      <c r="L32" s="48"/>
      <c r="M32" s="48">
        <f t="shared" ref="M32:M36" si="5">(SUM(K32:L32))</f>
        <v>0</v>
      </c>
    </row>
    <row r="33" spans="2:13" x14ac:dyDescent="0.25">
      <c r="B33" s="49"/>
      <c r="C33" s="47" t="s">
        <v>57</v>
      </c>
      <c r="D33" s="7"/>
      <c r="E33" s="7"/>
      <c r="F33" s="7"/>
      <c r="G33" s="8"/>
      <c r="H33" s="48"/>
      <c r="I33" s="48"/>
      <c r="J33" s="48">
        <f t="shared" si="4"/>
        <v>0</v>
      </c>
      <c r="K33" s="48"/>
      <c r="L33" s="48"/>
      <c r="M33" s="48">
        <f t="shared" si="5"/>
        <v>0</v>
      </c>
    </row>
    <row r="34" spans="2:13" x14ac:dyDescent="0.25">
      <c r="B34" s="49"/>
      <c r="C34" s="47" t="s">
        <v>58</v>
      </c>
      <c r="D34" s="7"/>
      <c r="E34" s="7"/>
      <c r="F34" s="7"/>
      <c r="G34" s="8"/>
      <c r="H34" s="48"/>
      <c r="I34" s="48"/>
      <c r="J34" s="48">
        <f t="shared" si="4"/>
        <v>0</v>
      </c>
      <c r="K34" s="48"/>
      <c r="L34" s="48"/>
      <c r="M34" s="48">
        <f t="shared" si="5"/>
        <v>0</v>
      </c>
    </row>
    <row r="35" spans="2:13" x14ac:dyDescent="0.25">
      <c r="B35" s="49"/>
      <c r="C35" s="47" t="s">
        <v>59</v>
      </c>
      <c r="D35" s="7"/>
      <c r="E35" s="7"/>
      <c r="F35" s="7"/>
      <c r="G35" s="8"/>
      <c r="H35" s="48"/>
      <c r="I35" s="48"/>
      <c r="J35" s="48">
        <f t="shared" si="4"/>
        <v>0</v>
      </c>
      <c r="K35" s="48"/>
      <c r="L35" s="48"/>
      <c r="M35" s="48">
        <f t="shared" si="5"/>
        <v>0</v>
      </c>
    </row>
    <row r="36" spans="2:13" x14ac:dyDescent="0.25">
      <c r="B36" s="50"/>
      <c r="C36" s="47" t="s">
        <v>60</v>
      </c>
      <c r="D36" s="7"/>
      <c r="E36" s="7"/>
      <c r="F36" s="7"/>
      <c r="G36" s="8"/>
      <c r="H36" s="56"/>
      <c r="I36" s="56"/>
      <c r="J36" s="48">
        <f t="shared" si="4"/>
        <v>0</v>
      </c>
      <c r="K36" s="56"/>
      <c r="L36" s="56"/>
      <c r="M36" s="48">
        <f t="shared" si="5"/>
        <v>0</v>
      </c>
    </row>
    <row r="37" ht="15.75" customHeight="1" spans="2:19" x14ac:dyDescent="0.25">
      <c r="B37" s="5"/>
      <c r="C37"/>
      <c r="D37"/>
      <c r="E37"/>
      <c r="F37"/>
      <c r="G37" s="5"/>
      <c r="H37" s="51" t="s">
        <v>49</v>
      </c>
      <c r="I37" s="8"/>
      <c r="J37" s="52">
        <f>(SUM(J32:J36))</f>
        <v>0</v>
      </c>
      <c r="K37" s="51" t="s">
        <v>49</v>
      </c>
      <c r="L37" s="8"/>
      <c r="M37" s="52">
        <f>(SUM(M32:M36))</f>
        <v>0</v>
      </c>
      <c r="N37" s="53">
        <f>J37</f>
        <v>0</v>
      </c>
      <c r="O37" s="53">
        <v>10</v>
      </c>
      <c r="P37" s="54">
        <f>N37/O37*100</f>
        <v>0</v>
      </c>
      <c r="Q37" s="53">
        <f>M37</f>
        <v>0</v>
      </c>
      <c r="R37" s="53">
        <v>10</v>
      </c>
      <c r="S37" s="54">
        <f>Q37/R37*100</f>
        <v>0</v>
      </c>
    </row>
    <row r="38" ht="15.75" customHeight="1" spans="2:13" x14ac:dyDescent="0.25">
      <c r="B38" s="43" t="s">
        <v>35</v>
      </c>
      <c r="C38" s="44" t="s">
        <v>36</v>
      </c>
      <c r="D38" s="7"/>
      <c r="E38" s="7"/>
      <c r="F38" s="7"/>
      <c r="G38" s="8"/>
      <c r="H38" s="45" t="s">
        <v>37</v>
      </c>
      <c r="I38" s="45" t="s">
        <v>38</v>
      </c>
      <c r="J38" s="45" t="s">
        <v>40</v>
      </c>
      <c r="K38" s="45" t="s">
        <v>37</v>
      </c>
      <c r="L38" s="45" t="s">
        <v>38</v>
      </c>
      <c r="M38" s="45" t="s">
        <v>40</v>
      </c>
    </row>
    <row r="39" spans="2:13" x14ac:dyDescent="0.25">
      <c r="B39" s="55" t="s">
        <v>61</v>
      </c>
      <c r="C39" s="47" t="s">
        <v>62</v>
      </c>
      <c r="D39" s="7"/>
      <c r="E39" s="7"/>
      <c r="F39" s="7"/>
      <c r="G39" s="8"/>
      <c r="H39" s="48"/>
      <c r="I39" s="48"/>
      <c r="J39" s="48">
        <f t="shared" ref="J39:J41" si="6">(SUM(H39:I39))</f>
        <v>0</v>
      </c>
      <c r="K39" s="48"/>
      <c r="L39" s="48"/>
      <c r="M39" s="48">
        <f t="shared" ref="M39:M41" si="7">(SUM(K39:L39))</f>
        <v>0</v>
      </c>
    </row>
    <row r="40" spans="2:13" x14ac:dyDescent="0.25">
      <c r="B40" s="49"/>
      <c r="C40" s="47" t="s">
        <v>63</v>
      </c>
      <c r="D40" s="7"/>
      <c r="E40" s="7"/>
      <c r="F40" s="7"/>
      <c r="G40" s="8"/>
      <c r="H40" s="48"/>
      <c r="I40" s="48"/>
      <c r="J40" s="48">
        <f t="shared" si="6"/>
        <v>0</v>
      </c>
      <c r="K40" s="48"/>
      <c r="L40" s="48"/>
      <c r="M40" s="48">
        <f t="shared" si="7"/>
        <v>0</v>
      </c>
    </row>
    <row r="41" spans="2:13" x14ac:dyDescent="0.25">
      <c r="B41" s="50"/>
      <c r="C41" s="47" t="s">
        <v>64</v>
      </c>
      <c r="D41" s="7"/>
      <c r="E41" s="7"/>
      <c r="F41" s="7"/>
      <c r="G41" s="8"/>
      <c r="H41" s="56"/>
      <c r="I41" s="56"/>
      <c r="J41" s="48">
        <f t="shared" si="6"/>
        <v>0</v>
      </c>
      <c r="K41" s="56"/>
      <c r="L41" s="56"/>
      <c r="M41" s="48">
        <f t="shared" si="7"/>
        <v>0</v>
      </c>
    </row>
    <row r="42" ht="15.75" customHeight="1" spans="2:19" x14ac:dyDescent="0.25">
      <c r="B42" s="5"/>
      <c r="C42"/>
      <c r="D42"/>
      <c r="E42"/>
      <c r="F42"/>
      <c r="G42" s="5"/>
      <c r="H42" s="51" t="s">
        <v>49</v>
      </c>
      <c r="I42" s="8"/>
      <c r="J42" s="52">
        <f>(SUM(J39:J41))</f>
        <v>0</v>
      </c>
      <c r="K42" s="51" t="s">
        <v>49</v>
      </c>
      <c r="L42" s="8"/>
      <c r="M42" s="52">
        <f>(SUM(M39:M41))</f>
        <v>0</v>
      </c>
      <c r="N42" s="53">
        <f>J42</f>
        <v>0</v>
      </c>
      <c r="O42" s="53">
        <v>6</v>
      </c>
      <c r="P42" s="54">
        <f>N42/O42*100</f>
        <v>0</v>
      </c>
      <c r="Q42" s="53">
        <f>M42</f>
        <v>0</v>
      </c>
      <c r="R42" s="53">
        <v>6</v>
      </c>
      <c r="S42" s="54">
        <f>Q42/R42*100</f>
        <v>0</v>
      </c>
    </row>
    <row r="43" ht="15.75" customHeight="1" spans="2:13" x14ac:dyDescent="0.25">
      <c r="B43" s="43" t="s">
        <v>35</v>
      </c>
      <c r="C43" s="44" t="s">
        <v>36</v>
      </c>
      <c r="D43" s="7"/>
      <c r="E43" s="7"/>
      <c r="F43" s="7"/>
      <c r="G43" s="8"/>
      <c r="H43" s="45" t="s">
        <v>37</v>
      </c>
      <c r="I43" s="45" t="s">
        <v>38</v>
      </c>
      <c r="J43" s="45" t="s">
        <v>40</v>
      </c>
      <c r="K43" s="45" t="s">
        <v>37</v>
      </c>
      <c r="L43" s="45" t="s">
        <v>38</v>
      </c>
      <c r="M43" s="45" t="s">
        <v>40</v>
      </c>
    </row>
    <row r="44" spans="2:13" x14ac:dyDescent="0.25">
      <c r="B44" s="55" t="s">
        <v>65</v>
      </c>
      <c r="C44" s="47" t="s">
        <v>66</v>
      </c>
      <c r="D44" s="7"/>
      <c r="E44" s="7"/>
      <c r="F44" s="7"/>
      <c r="G44" s="8"/>
      <c r="H44" s="48"/>
      <c r="I44" s="48"/>
      <c r="J44" s="48">
        <f t="shared" ref="J44:J47" si="8">(SUM(H44:I44))</f>
        <v>0</v>
      </c>
      <c r="K44" s="48"/>
      <c r="L44" s="48"/>
      <c r="M44" s="48">
        <f t="shared" ref="M44:M47" si="9">(SUM(K44:L44))</f>
        <v>0</v>
      </c>
    </row>
    <row r="45" spans="2:13" x14ac:dyDescent="0.25">
      <c r="B45" s="49"/>
      <c r="C45" s="47" t="s">
        <v>67</v>
      </c>
      <c r="D45" s="7"/>
      <c r="E45" s="7"/>
      <c r="F45" s="7"/>
      <c r="G45" s="8"/>
      <c r="H45" s="48"/>
      <c r="I45" s="48"/>
      <c r="J45" s="48">
        <f t="shared" si="8"/>
        <v>0</v>
      </c>
      <c r="K45" s="48"/>
      <c r="L45" s="48"/>
      <c r="M45" s="48">
        <f t="shared" si="9"/>
        <v>0</v>
      </c>
    </row>
    <row r="46" spans="2:13" x14ac:dyDescent="0.25">
      <c r="B46" s="49"/>
      <c r="C46" s="47" t="s">
        <v>68</v>
      </c>
      <c r="D46" s="7"/>
      <c r="E46" s="7"/>
      <c r="F46" s="7"/>
      <c r="G46" s="8"/>
      <c r="H46" s="48"/>
      <c r="I46" s="48"/>
      <c r="J46" s="48">
        <f t="shared" si="8"/>
        <v>0</v>
      </c>
      <c r="K46" s="48"/>
      <c r="L46" s="48"/>
      <c r="M46" s="48">
        <f t="shared" si="9"/>
        <v>0</v>
      </c>
    </row>
    <row r="47" spans="2:13" x14ac:dyDescent="0.25">
      <c r="B47" s="50"/>
      <c r="C47" s="47" t="s">
        <v>69</v>
      </c>
      <c r="D47" s="7"/>
      <c r="E47" s="7"/>
      <c r="F47" s="7"/>
      <c r="G47" s="8"/>
      <c r="H47" s="48"/>
      <c r="I47" s="48"/>
      <c r="J47" s="48">
        <f t="shared" si="8"/>
        <v>0</v>
      </c>
      <c r="K47" s="48"/>
      <c r="L47" s="48"/>
      <c r="M47" s="48">
        <f t="shared" si="9"/>
        <v>0</v>
      </c>
    </row>
    <row r="48" ht="15.75" customHeight="1" spans="2:19" x14ac:dyDescent="0.25">
      <c r="B48" s="5"/>
      <c r="C48"/>
      <c r="D48"/>
      <c r="E48"/>
      <c r="F48"/>
      <c r="G48" s="5"/>
      <c r="H48" s="51" t="s">
        <v>49</v>
      </c>
      <c r="I48" s="8"/>
      <c r="J48" s="52">
        <f>(SUM(J44:J47))</f>
        <v>0</v>
      </c>
      <c r="K48" s="51" t="s">
        <v>49</v>
      </c>
      <c r="L48" s="8"/>
      <c r="M48" s="52">
        <f>(SUM(M44:M47))</f>
        <v>0</v>
      </c>
      <c r="N48" s="53">
        <f>J48</f>
        <v>0</v>
      </c>
      <c r="O48" s="53">
        <v>8</v>
      </c>
      <c r="P48" s="54">
        <f>N48/O48*100</f>
        <v>0</v>
      </c>
      <c r="Q48" s="53">
        <f>M48</f>
        <v>0</v>
      </c>
      <c r="R48" s="53">
        <v>8</v>
      </c>
      <c r="S48" s="54">
        <f>Q48/R48*100</f>
        <v>0</v>
      </c>
    </row>
    <row r="49" ht="15.75" customHeight="1" spans="2:13" x14ac:dyDescent="0.25">
      <c r="B49" s="43" t="s">
        <v>35</v>
      </c>
      <c r="C49" s="44" t="s">
        <v>36</v>
      </c>
      <c r="D49" s="7"/>
      <c r="E49" s="7"/>
      <c r="F49" s="7"/>
      <c r="G49" s="8"/>
      <c r="H49" s="45" t="s">
        <v>37</v>
      </c>
      <c r="I49" s="45" t="s">
        <v>38</v>
      </c>
      <c r="J49" s="45" t="s">
        <v>40</v>
      </c>
      <c r="K49" s="45" t="s">
        <v>37</v>
      </c>
      <c r="L49" s="45" t="s">
        <v>38</v>
      </c>
      <c r="M49" s="45" t="s">
        <v>40</v>
      </c>
    </row>
    <row r="50" spans="2:13" x14ac:dyDescent="0.25">
      <c r="B50" s="55" t="s">
        <v>70</v>
      </c>
      <c r="C50" s="47" t="s">
        <v>71</v>
      </c>
      <c r="D50" s="7"/>
      <c r="E50" s="7"/>
      <c r="F50" s="7"/>
      <c r="G50" s="8"/>
      <c r="H50" s="48"/>
      <c r="I50" s="48"/>
      <c r="J50" s="48">
        <f t="shared" ref="J50:J53" si="10">(SUM(H50:I50))</f>
        <v>0</v>
      </c>
      <c r="K50" s="48"/>
      <c r="L50" s="48"/>
      <c r="M50" s="48">
        <f t="shared" ref="M50:M53" si="11">(SUM(K50:L50))</f>
        <v>0</v>
      </c>
    </row>
    <row r="51" spans="2:13" x14ac:dyDescent="0.25">
      <c r="B51" s="49"/>
      <c r="C51" s="47" t="s">
        <v>72</v>
      </c>
      <c r="D51" s="7"/>
      <c r="E51" s="7"/>
      <c r="F51" s="7"/>
      <c r="G51" s="8"/>
      <c r="H51" s="48"/>
      <c r="I51" s="48"/>
      <c r="J51" s="48">
        <f t="shared" si="10"/>
        <v>0</v>
      </c>
      <c r="K51" s="48"/>
      <c r="L51" s="48"/>
      <c r="M51" s="48">
        <f t="shared" si="11"/>
        <v>0</v>
      </c>
    </row>
    <row r="52" spans="2:13" x14ac:dyDescent="0.25">
      <c r="B52" s="49"/>
      <c r="C52" s="47" t="s">
        <v>73</v>
      </c>
      <c r="D52" s="7"/>
      <c r="E52" s="7"/>
      <c r="F52" s="7"/>
      <c r="G52" s="8"/>
      <c r="H52" s="48"/>
      <c r="I52" s="48"/>
      <c r="J52" s="48">
        <f t="shared" si="10"/>
        <v>0</v>
      </c>
      <c r="K52" s="48"/>
      <c r="L52" s="48"/>
      <c r="M52" s="48">
        <f t="shared" si="11"/>
        <v>0</v>
      </c>
    </row>
    <row r="53" spans="2:13" x14ac:dyDescent="0.25">
      <c r="B53" s="50"/>
      <c r="C53" s="47" t="s">
        <v>74</v>
      </c>
      <c r="D53" s="7"/>
      <c r="E53" s="7"/>
      <c r="F53" s="7"/>
      <c r="G53" s="8"/>
      <c r="H53" s="48"/>
      <c r="I53" s="48"/>
      <c r="J53" s="48">
        <f t="shared" si="10"/>
        <v>0</v>
      </c>
      <c r="K53" s="48"/>
      <c r="L53" s="48"/>
      <c r="M53" s="48">
        <f t="shared" si="11"/>
        <v>0</v>
      </c>
    </row>
    <row r="54" ht="15.75" customHeight="1" spans="2:19" x14ac:dyDescent="0.25">
      <c r="B54" s="5"/>
      <c r="C54" s="5"/>
      <c r="D54" s="5"/>
      <c r="E54" s="5"/>
      <c r="F54" s="5"/>
      <c r="G54" s="5"/>
      <c r="H54" s="51" t="s">
        <v>49</v>
      </c>
      <c r="I54" s="8"/>
      <c r="J54" s="52">
        <f>(SUM(J50:J53))</f>
        <v>0</v>
      </c>
      <c r="K54" s="51" t="s">
        <v>49</v>
      </c>
      <c r="L54" s="8"/>
      <c r="M54" s="52">
        <f>(SUM(M50:M53))</f>
        <v>0</v>
      </c>
      <c r="N54" s="53">
        <f>J54</f>
        <v>0</v>
      </c>
      <c r="O54" s="53">
        <v>8</v>
      </c>
      <c r="P54" s="54">
        <f>N54/O54*100</f>
        <v>0</v>
      </c>
      <c r="Q54" s="53">
        <f>M54</f>
        <v>0</v>
      </c>
      <c r="R54" s="53">
        <v>8</v>
      </c>
      <c r="S54" s="54">
        <f>Q54/R54*100</f>
        <v>0</v>
      </c>
    </row>
    <row r="55" ht="15.75" customHeight="1" spans="2:19" x14ac:dyDescent="0.25">
      <c r="B55" s="5"/>
      <c r="C55" s="5"/>
      <c r="D55" s="5"/>
      <c r="E55" s="5"/>
      <c r="F55" s="57" t="s">
        <v>75</v>
      </c>
      <c r="G55"/>
      <c r="H55"/>
      <c r="I55" s="58" t="s">
        <v>76</v>
      </c>
      <c r="J55" s="59">
        <f>(J24+J30+J37+J42+J48+J54)</f>
        <v>0</v>
      </c>
      <c r="K55" s="5"/>
      <c r="L55" s="58" t="s">
        <v>76</v>
      </c>
      <c r="M55" s="59">
        <f>(M24+M30+M37+M42+M48+M54)</f>
        <v>0</v>
      </c>
      <c r="N55" s="60">
        <f>J55</f>
        <v>0</v>
      </c>
      <c r="O55" s="61">
        <v>48</v>
      </c>
      <c r="P55" s="62">
        <f>(N55/48*100)</f>
        <v>0</v>
      </c>
      <c r="Q55" s="60">
        <f>M55</f>
        <v>0</v>
      </c>
      <c r="R55" s="61">
        <v>48</v>
      </c>
      <c r="S55" s="62">
        <f>(Q55/48*100)</f>
        <v>0</v>
      </c>
    </row>
    <row r="56" ht="15.75" customHeight="1" spans="2:13" x14ac:dyDescent="0.25">
      <c r="B56" s="40" t="s">
        <v>77</v>
      </c>
      <c r="C56"/>
      <c r="D56"/>
      <c r="E56"/>
      <c r="F56"/>
      <c r="G56"/>
      <c r="H56" s="42"/>
      <c r="I56" s="7"/>
      <c r="J56" s="8"/>
      <c r="K56" s="42"/>
      <c r="L56" s="7"/>
      <c r="M56" s="8"/>
    </row>
    <row r="57" ht="15.75" customHeight="1" spans="2:13" x14ac:dyDescent="0.25">
      <c r="B57" s="43" t="s">
        <v>35</v>
      </c>
      <c r="C57" s="44" t="s">
        <v>36</v>
      </c>
      <c r="D57" s="7"/>
      <c r="E57" s="7"/>
      <c r="F57" s="7"/>
      <c r="G57" s="8"/>
      <c r="H57" s="45" t="s">
        <v>37</v>
      </c>
      <c r="I57" s="45" t="s">
        <v>38</v>
      </c>
      <c r="J57" s="45" t="s">
        <v>40</v>
      </c>
      <c r="K57" s="45" t="s">
        <v>37</v>
      </c>
      <c r="L57" s="45" t="s">
        <v>38</v>
      </c>
      <c r="M57" s="45" t="s">
        <v>40</v>
      </c>
    </row>
    <row r="58" spans="2:13" x14ac:dyDescent="0.25">
      <c r="B58" s="55" t="s">
        <v>78</v>
      </c>
      <c r="C58" s="47" t="s">
        <v>79</v>
      </c>
      <c r="D58" s="7"/>
      <c r="E58" s="7"/>
      <c r="F58" s="7"/>
      <c r="G58" s="8"/>
      <c r="H58" s="48"/>
      <c r="I58" s="48"/>
      <c r="J58" s="48">
        <f t="shared" ref="J58:J62" si="12">(SUM(H58:I58))</f>
        <v>0</v>
      </c>
      <c r="K58" s="48"/>
      <c r="L58" s="48"/>
      <c r="M58" s="48">
        <f t="shared" ref="M58:M62" si="13">(SUM(K58:L58))</f>
        <v>0</v>
      </c>
    </row>
    <row r="59" spans="2:13" x14ac:dyDescent="0.25">
      <c r="B59" s="49"/>
      <c r="C59" s="47" t="s">
        <v>80</v>
      </c>
      <c r="D59" s="7"/>
      <c r="E59" s="7"/>
      <c r="F59" s="7"/>
      <c r="G59" s="8"/>
      <c r="H59" s="48"/>
      <c r="I59" s="48"/>
      <c r="J59" s="48">
        <f t="shared" si="12"/>
        <v>0</v>
      </c>
      <c r="K59" s="48"/>
      <c r="L59" s="48"/>
      <c r="M59" s="48">
        <f t="shared" si="13"/>
        <v>0</v>
      </c>
    </row>
    <row r="60" spans="2:13" x14ac:dyDescent="0.25">
      <c r="B60" s="49"/>
      <c r="C60" s="47" t="s">
        <v>81</v>
      </c>
      <c r="D60" s="7"/>
      <c r="E60" s="7"/>
      <c r="F60" s="7"/>
      <c r="G60" s="8"/>
      <c r="H60" s="48"/>
      <c r="I60" s="48"/>
      <c r="J60" s="48">
        <f t="shared" si="12"/>
        <v>0</v>
      </c>
      <c r="K60" s="48"/>
      <c r="L60" s="48"/>
      <c r="M60" s="48">
        <f t="shared" si="13"/>
        <v>0</v>
      </c>
    </row>
    <row r="61" spans="2:13" x14ac:dyDescent="0.25">
      <c r="B61" s="49"/>
      <c r="C61" s="47" t="s">
        <v>82</v>
      </c>
      <c r="D61" s="7"/>
      <c r="E61" s="7"/>
      <c r="F61" s="7"/>
      <c r="G61" s="8"/>
      <c r="H61" s="48"/>
      <c r="I61" s="48"/>
      <c r="J61" s="48">
        <f t="shared" si="12"/>
        <v>0</v>
      </c>
      <c r="K61" s="48"/>
      <c r="L61" s="48"/>
      <c r="M61" s="48">
        <f t="shared" si="13"/>
        <v>0</v>
      </c>
    </row>
    <row r="62" spans="2:13" x14ac:dyDescent="0.25">
      <c r="B62" s="50"/>
      <c r="C62" s="47" t="s">
        <v>83</v>
      </c>
      <c r="D62" s="7"/>
      <c r="E62" s="7"/>
      <c r="F62" s="7"/>
      <c r="G62" s="8"/>
      <c r="H62" s="56"/>
      <c r="I62" s="56"/>
      <c r="J62" s="48">
        <f t="shared" si="12"/>
        <v>0</v>
      </c>
      <c r="K62" s="56"/>
      <c r="L62" s="56"/>
      <c r="M62" s="48">
        <f t="shared" si="13"/>
        <v>0</v>
      </c>
    </row>
    <row r="63" ht="15.75" customHeight="1" spans="2:19" x14ac:dyDescent="0.25">
      <c r="B63" s="5"/>
      <c r="C63"/>
      <c r="D63"/>
      <c r="E63"/>
      <c r="F63"/>
      <c r="G63" s="5"/>
      <c r="H63" s="51" t="s">
        <v>49</v>
      </c>
      <c r="I63" s="8"/>
      <c r="J63" s="52">
        <f>(SUM(J58:J62))</f>
        <v>0</v>
      </c>
      <c r="K63" s="51" t="s">
        <v>49</v>
      </c>
      <c r="L63" s="8"/>
      <c r="M63" s="52">
        <f>(SUM(M58:M62))</f>
        <v>0</v>
      </c>
      <c r="N63" s="53">
        <f>J63</f>
        <v>0</v>
      </c>
      <c r="O63" s="53">
        <v>10</v>
      </c>
      <c r="P63" s="54">
        <f>N63/O63*100</f>
        <v>0</v>
      </c>
      <c r="Q63" s="53">
        <f>M63</f>
        <v>0</v>
      </c>
      <c r="R63" s="53">
        <v>10</v>
      </c>
      <c r="S63" s="54">
        <f>Q63/R63*100</f>
        <v>0</v>
      </c>
    </row>
    <row r="64" ht="15.75" customHeight="1" spans="2:13" x14ac:dyDescent="0.25">
      <c r="B64" s="43" t="s">
        <v>35</v>
      </c>
      <c r="C64" s="44" t="s">
        <v>36</v>
      </c>
      <c r="D64" s="7"/>
      <c r="E64" s="7"/>
      <c r="F64" s="7"/>
      <c r="G64" s="8"/>
      <c r="H64" s="45" t="s">
        <v>37</v>
      </c>
      <c r="I64" s="45" t="s">
        <v>38</v>
      </c>
      <c r="J64" s="45" t="s">
        <v>40</v>
      </c>
      <c r="K64" s="45" t="s">
        <v>37</v>
      </c>
      <c r="L64" s="45" t="s">
        <v>38</v>
      </c>
      <c r="M64" s="45" t="s">
        <v>40</v>
      </c>
    </row>
    <row r="65" spans="2:13" x14ac:dyDescent="0.25">
      <c r="B65" s="55" t="s">
        <v>84</v>
      </c>
      <c r="C65" s="47" t="s">
        <v>85</v>
      </c>
      <c r="D65" s="7"/>
      <c r="E65" s="7"/>
      <c r="F65" s="7"/>
      <c r="G65" s="8"/>
      <c r="H65" s="48"/>
      <c r="I65" s="48"/>
      <c r="J65" s="48">
        <f t="shared" ref="J65:J68" si="14">(SUM(H65:I65))</f>
        <v>0</v>
      </c>
      <c r="K65" s="48"/>
      <c r="L65" s="48"/>
      <c r="M65" s="48">
        <f t="shared" ref="M65:M68" si="15">(SUM(K65:L65))</f>
        <v>0</v>
      </c>
    </row>
    <row r="66" spans="2:13" x14ac:dyDescent="0.25">
      <c r="B66" s="49"/>
      <c r="C66" s="47" t="s">
        <v>86</v>
      </c>
      <c r="D66" s="7"/>
      <c r="E66" s="7"/>
      <c r="F66" s="7"/>
      <c r="G66" s="8"/>
      <c r="H66" s="48"/>
      <c r="I66" s="48"/>
      <c r="J66" s="48">
        <f t="shared" si="14"/>
        <v>0</v>
      </c>
      <c r="K66" s="48"/>
      <c r="L66" s="48"/>
      <c r="M66" s="48">
        <f t="shared" si="15"/>
        <v>0</v>
      </c>
    </row>
    <row r="67" spans="2:13" x14ac:dyDescent="0.25">
      <c r="B67" s="49"/>
      <c r="C67" s="47" t="s">
        <v>87</v>
      </c>
      <c r="D67" s="7"/>
      <c r="E67" s="7"/>
      <c r="F67" s="7"/>
      <c r="G67" s="8"/>
      <c r="H67" s="48"/>
      <c r="I67" s="48"/>
      <c r="J67" s="48">
        <f t="shared" si="14"/>
        <v>0</v>
      </c>
      <c r="K67" s="48"/>
      <c r="L67" s="48"/>
      <c r="M67" s="48">
        <f t="shared" si="15"/>
        <v>0</v>
      </c>
    </row>
    <row r="68" spans="2:13" x14ac:dyDescent="0.25">
      <c r="B68" s="50"/>
      <c r="C68" s="63" t="s">
        <v>88</v>
      </c>
      <c r="D68" s="7"/>
      <c r="E68" s="7"/>
      <c r="F68" s="7"/>
      <c r="G68" s="8"/>
      <c r="H68" s="48"/>
      <c r="I68" s="48"/>
      <c r="J68" s="48">
        <f t="shared" si="14"/>
        <v>0</v>
      </c>
      <c r="K68" s="48"/>
      <c r="L68" s="48"/>
      <c r="M68" s="48">
        <f t="shared" si="15"/>
        <v>0</v>
      </c>
    </row>
    <row r="69" ht="15.75" customHeight="1" spans="2:19" x14ac:dyDescent="0.25">
      <c r="B69" s="5"/>
      <c r="C69" s="5"/>
      <c r="D69"/>
      <c r="E69"/>
      <c r="F69"/>
      <c r="G69" s="5"/>
      <c r="H69" s="51" t="s">
        <v>49</v>
      </c>
      <c r="I69" s="8"/>
      <c r="J69" s="52">
        <f>(SUM(J65:J68))</f>
        <v>0</v>
      </c>
      <c r="K69" s="51" t="s">
        <v>49</v>
      </c>
      <c r="L69" s="8"/>
      <c r="M69" s="52">
        <f>(SUM(M65:M68))</f>
        <v>0</v>
      </c>
      <c r="N69" s="53">
        <f>J69</f>
        <v>0</v>
      </c>
      <c r="O69" s="53">
        <v>8</v>
      </c>
      <c r="P69" s="54">
        <f>N69/O69*100</f>
        <v>0</v>
      </c>
      <c r="Q69" s="53">
        <f>M69</f>
        <v>0</v>
      </c>
      <c r="R69" s="53">
        <v>8</v>
      </c>
      <c r="S69" s="54">
        <f>Q69/R69*100</f>
        <v>0</v>
      </c>
    </row>
    <row r="70" ht="15.75" customHeight="1" spans="2:13" x14ac:dyDescent="0.25">
      <c r="B70" s="43" t="s">
        <v>35</v>
      </c>
      <c r="C70" s="44" t="s">
        <v>36</v>
      </c>
      <c r="D70" s="7"/>
      <c r="E70" s="7"/>
      <c r="F70" s="7"/>
      <c r="G70" s="8"/>
      <c r="H70" s="45" t="s">
        <v>37</v>
      </c>
      <c r="I70" s="45" t="s">
        <v>38</v>
      </c>
      <c r="J70" s="45" t="s">
        <v>40</v>
      </c>
      <c r="K70" s="45" t="s">
        <v>37</v>
      </c>
      <c r="L70" s="45" t="s">
        <v>38</v>
      </c>
      <c r="M70" s="45" t="s">
        <v>40</v>
      </c>
    </row>
    <row r="71" spans="2:13" x14ac:dyDescent="0.25">
      <c r="B71" s="46" t="s">
        <v>89</v>
      </c>
      <c r="C71" s="64" t="s">
        <v>90</v>
      </c>
      <c r="D71" s="3"/>
      <c r="E71" s="3"/>
      <c r="F71" s="3"/>
      <c r="G71" s="65"/>
      <c r="H71" s="48"/>
      <c r="I71" s="48"/>
      <c r="J71" s="48">
        <f t="shared" ref="J71:J73" si="16">(SUM(H71:I71))</f>
        <v>0</v>
      </c>
      <c r="K71" s="48"/>
      <c r="L71" s="48"/>
      <c r="M71" s="48">
        <f t="shared" ref="M71:M73" si="17">(SUM(K71:L71))</f>
        <v>0</v>
      </c>
    </row>
    <row r="72" spans="2:13" x14ac:dyDescent="0.25">
      <c r="B72" s="49"/>
      <c r="C72" s="47" t="s">
        <v>91</v>
      </c>
      <c r="D72" s="7"/>
      <c r="E72" s="7"/>
      <c r="F72" s="7"/>
      <c r="G72" s="8"/>
      <c r="H72" s="48"/>
      <c r="I72" s="48"/>
      <c r="J72" s="48">
        <f t="shared" si="16"/>
        <v>0</v>
      </c>
      <c r="K72" s="48"/>
      <c r="L72" s="48"/>
      <c r="M72" s="48">
        <f t="shared" si="17"/>
        <v>0</v>
      </c>
    </row>
    <row r="73" spans="2:13" x14ac:dyDescent="0.25">
      <c r="B73" s="50"/>
      <c r="C73" s="47" t="s">
        <v>92</v>
      </c>
      <c r="D73" s="7"/>
      <c r="E73" s="7"/>
      <c r="F73" s="7"/>
      <c r="G73" s="8"/>
      <c r="H73" s="56"/>
      <c r="I73" s="56"/>
      <c r="J73" s="48">
        <f t="shared" si="16"/>
        <v>0</v>
      </c>
      <c r="K73" s="56"/>
      <c r="L73" s="56"/>
      <c r="M73" s="48">
        <f t="shared" si="17"/>
        <v>0</v>
      </c>
    </row>
    <row r="74" ht="15.75" customHeight="1" spans="2:19" x14ac:dyDescent="0.25">
      <c r="B74" s="5"/>
      <c r="C74" s="5"/>
      <c r="D74" s="5"/>
      <c r="E74" s="5"/>
      <c r="F74" s="5"/>
      <c r="G74" s="5"/>
      <c r="H74" s="51" t="s">
        <v>49</v>
      </c>
      <c r="I74" s="8"/>
      <c r="J74" s="52">
        <f>(SUM(J71:J73))</f>
        <v>0</v>
      </c>
      <c r="K74" s="51" t="s">
        <v>49</v>
      </c>
      <c r="L74" s="8"/>
      <c r="M74" s="52">
        <f>(SUM(M71:M73))</f>
        <v>0</v>
      </c>
      <c r="N74" s="53">
        <f>J74</f>
        <v>0</v>
      </c>
      <c r="O74" s="53">
        <v>6</v>
      </c>
      <c r="P74" s="54">
        <f>N74/O74*100</f>
        <v>0</v>
      </c>
      <c r="Q74" s="53">
        <f>M74</f>
        <v>0</v>
      </c>
      <c r="R74" s="53">
        <v>6</v>
      </c>
      <c r="S74" s="54">
        <f>Q74/R74*100</f>
        <v>0</v>
      </c>
    </row>
    <row r="75" ht="15.75" customHeight="1" spans="2:13" x14ac:dyDescent="0.25">
      <c r="B75" s="43" t="s">
        <v>35</v>
      </c>
      <c r="C75" s="44" t="s">
        <v>36</v>
      </c>
      <c r="D75" s="7"/>
      <c r="E75" s="7"/>
      <c r="F75" s="7"/>
      <c r="G75" s="8"/>
      <c r="H75" s="45" t="s">
        <v>37</v>
      </c>
      <c r="I75" s="45" t="s">
        <v>38</v>
      </c>
      <c r="J75" s="45" t="s">
        <v>40</v>
      </c>
      <c r="K75" s="45" t="s">
        <v>37</v>
      </c>
      <c r="L75" s="45" t="s">
        <v>38</v>
      </c>
      <c r="M75" s="45" t="s">
        <v>40</v>
      </c>
    </row>
    <row r="76" spans="2:13" x14ac:dyDescent="0.25">
      <c r="B76" s="55" t="s">
        <v>93</v>
      </c>
      <c r="C76" s="47" t="s">
        <v>94</v>
      </c>
      <c r="D76" s="7"/>
      <c r="E76" s="7"/>
      <c r="F76" s="7"/>
      <c r="G76" s="8"/>
      <c r="H76" s="48"/>
      <c r="I76" s="48"/>
      <c r="J76" s="48">
        <f t="shared" ref="J76:J79" si="18">(SUM(H76:I76))</f>
        <v>0</v>
      </c>
      <c r="K76" s="48"/>
      <c r="L76" s="48"/>
      <c r="M76" s="48">
        <f t="shared" ref="M76:M79" si="19">(SUM(K76:L76))</f>
        <v>0</v>
      </c>
    </row>
    <row r="77" spans="2:13" x14ac:dyDescent="0.25">
      <c r="B77" s="66"/>
      <c r="C77" s="63" t="s">
        <v>95</v>
      </c>
      <c r="D77" s="7"/>
      <c r="E77" s="7"/>
      <c r="F77" s="7"/>
      <c r="G77" s="8"/>
      <c r="H77" s="48"/>
      <c r="I77" s="48"/>
      <c r="J77" s="48">
        <f t="shared" si="18"/>
        <v>0</v>
      </c>
      <c r="K77" s="48"/>
      <c r="L77" s="48"/>
      <c r="M77" s="48">
        <f t="shared" si="19"/>
        <v>0</v>
      </c>
    </row>
    <row r="78" spans="2:13" x14ac:dyDescent="0.25">
      <c r="B78" s="66"/>
      <c r="C78" s="67" t="s">
        <v>96</v>
      </c>
      <c r="D78" s="7"/>
      <c r="E78" s="7"/>
      <c r="F78" s="7"/>
      <c r="G78" s="8"/>
      <c r="H78" s="48"/>
      <c r="I78" s="48"/>
      <c r="J78" s="48">
        <f t="shared" si="18"/>
        <v>0</v>
      </c>
      <c r="K78" s="48"/>
      <c r="L78" s="48"/>
      <c r="M78" s="48">
        <f t="shared" si="19"/>
        <v>0</v>
      </c>
    </row>
    <row r="79" spans="2:13" x14ac:dyDescent="0.25">
      <c r="B79" s="68"/>
      <c r="C79" s="47" t="s">
        <v>97</v>
      </c>
      <c r="D79" s="7"/>
      <c r="E79" s="7"/>
      <c r="F79" s="7"/>
      <c r="G79" s="8"/>
      <c r="H79" s="48"/>
      <c r="I79" s="48"/>
      <c r="J79" s="48">
        <f t="shared" si="18"/>
        <v>0</v>
      </c>
      <c r="K79" s="48"/>
      <c r="L79" s="48"/>
      <c r="M79" s="48">
        <f t="shared" si="19"/>
        <v>0</v>
      </c>
    </row>
    <row r="80" ht="15.75" customHeight="1" spans="2:19" x14ac:dyDescent="0.25">
      <c r="B80" s="5"/>
      <c r="C80" s="5"/>
      <c r="D80" s="5"/>
      <c r="E80" s="5"/>
      <c r="F80" s="5"/>
      <c r="G80" s="5"/>
      <c r="H80" s="51" t="s">
        <v>49</v>
      </c>
      <c r="I80" s="8"/>
      <c r="J80" s="52">
        <f>(SUM(J76:J79))</f>
        <v>0</v>
      </c>
      <c r="K80" s="51" t="s">
        <v>49</v>
      </c>
      <c r="L80" s="8"/>
      <c r="M80" s="52">
        <f>(SUM(M76:M79))</f>
        <v>0</v>
      </c>
      <c r="N80" s="53">
        <f>J80</f>
        <v>0</v>
      </c>
      <c r="O80" s="53">
        <v>8</v>
      </c>
      <c r="P80" s="54">
        <f>N80/O80*100</f>
        <v>0</v>
      </c>
      <c r="Q80" s="53">
        <f>M80</f>
        <v>0</v>
      </c>
      <c r="R80" s="53">
        <v>8</v>
      </c>
      <c r="S80" s="54">
        <f>Q80/R80*100</f>
        <v>0</v>
      </c>
    </row>
    <row r="81" ht="15.75" customHeight="1" spans="2:13" x14ac:dyDescent="0.25">
      <c r="B81" s="43" t="s">
        <v>35</v>
      </c>
      <c r="C81" s="44" t="s">
        <v>36</v>
      </c>
      <c r="D81" s="7"/>
      <c r="E81" s="7"/>
      <c r="F81" s="7"/>
      <c r="G81" s="8"/>
      <c r="H81" s="45" t="s">
        <v>37</v>
      </c>
      <c r="I81" s="45" t="s">
        <v>38</v>
      </c>
      <c r="J81" s="45" t="s">
        <v>40</v>
      </c>
      <c r="K81" s="45" t="s">
        <v>37</v>
      </c>
      <c r="L81" s="45" t="s">
        <v>38</v>
      </c>
      <c r="M81" s="45" t="s">
        <v>40</v>
      </c>
    </row>
    <row r="82" spans="2:13" x14ac:dyDescent="0.25">
      <c r="B82" s="69" t="s">
        <v>98</v>
      </c>
      <c r="C82" s="67" t="s">
        <v>99</v>
      </c>
      <c r="D82" s="7"/>
      <c r="E82" s="7"/>
      <c r="F82" s="7"/>
      <c r="G82" s="8"/>
      <c r="H82" s="48"/>
      <c r="I82" s="48"/>
      <c r="J82" s="48">
        <f t="shared" ref="J82:J85" si="20">(SUM(H82:I82))</f>
        <v>0</v>
      </c>
      <c r="K82" s="48"/>
      <c r="L82" s="48"/>
      <c r="M82" s="48">
        <f t="shared" ref="M82:M85" si="21">(SUM(K82:L82))</f>
        <v>0</v>
      </c>
    </row>
    <row r="83" spans="2:13" x14ac:dyDescent="0.25">
      <c r="B83" s="70"/>
      <c r="C83" s="63" t="s">
        <v>100</v>
      </c>
      <c r="D83" s="7"/>
      <c r="E83" s="7"/>
      <c r="F83" s="7"/>
      <c r="G83" s="8"/>
      <c r="H83" s="48"/>
      <c r="I83" s="48"/>
      <c r="J83" s="48">
        <f t="shared" si="20"/>
        <v>0</v>
      </c>
      <c r="K83" s="48"/>
      <c r="L83" s="48"/>
      <c r="M83" s="48">
        <f t="shared" si="21"/>
        <v>0</v>
      </c>
    </row>
    <row r="84" spans="2:13" x14ac:dyDescent="0.25">
      <c r="B84" s="70"/>
      <c r="C84" s="67" t="s">
        <v>101</v>
      </c>
      <c r="D84" s="7"/>
      <c r="E84" s="7"/>
      <c r="F84" s="7"/>
      <c r="G84" s="8"/>
      <c r="H84" s="48"/>
      <c r="I84" s="48"/>
      <c r="J84" s="48">
        <f t="shared" si="20"/>
        <v>0</v>
      </c>
      <c r="K84" s="48"/>
      <c r="L84" s="48"/>
      <c r="M84" s="48">
        <f t="shared" si="21"/>
        <v>0</v>
      </c>
    </row>
    <row r="85" spans="2:13" x14ac:dyDescent="0.25">
      <c r="B85" s="71"/>
      <c r="C85" s="63" t="s">
        <v>102</v>
      </c>
      <c r="D85" s="7"/>
      <c r="E85" s="7"/>
      <c r="F85" s="7"/>
      <c r="G85" s="8"/>
      <c r="H85" s="48"/>
      <c r="I85" s="48"/>
      <c r="J85" s="48">
        <f t="shared" si="20"/>
        <v>0</v>
      </c>
      <c r="K85" s="48"/>
      <c r="L85" s="48"/>
      <c r="M85" s="48">
        <f t="shared" si="21"/>
        <v>0</v>
      </c>
    </row>
    <row r="86" ht="15.75" customHeight="1" spans="2:19" x14ac:dyDescent="0.25">
      <c r="B86" s="5"/>
      <c r="C86" s="5"/>
      <c r="D86" s="5"/>
      <c r="E86" s="5"/>
      <c r="F86" s="5"/>
      <c r="G86" s="5"/>
      <c r="H86" s="51" t="s">
        <v>49</v>
      </c>
      <c r="I86" s="8"/>
      <c r="J86" s="52">
        <f>(SUM(J82:J85))</f>
        <v>0</v>
      </c>
      <c r="K86" s="51" t="s">
        <v>49</v>
      </c>
      <c r="L86" s="8"/>
      <c r="M86" s="52">
        <f>(SUM(M82:M85))</f>
        <v>0</v>
      </c>
      <c r="N86" s="53">
        <f>J86</f>
        <v>0</v>
      </c>
      <c r="O86" s="53">
        <v>8</v>
      </c>
      <c r="P86" s="54">
        <f>N86/O86*100</f>
        <v>0</v>
      </c>
      <c r="Q86" s="53">
        <f>M86</f>
        <v>0</v>
      </c>
      <c r="R86" s="53">
        <v>8</v>
      </c>
      <c r="S86" s="54">
        <f>Q86/R86*100</f>
        <v>0</v>
      </c>
    </row>
    <row r="87" ht="15.75" customHeight="1" spans="2:13" x14ac:dyDescent="0.25">
      <c r="B87" s="43" t="s">
        <v>35</v>
      </c>
      <c r="C87" s="44" t="s">
        <v>36</v>
      </c>
      <c r="D87" s="7"/>
      <c r="E87" s="7"/>
      <c r="F87" s="7"/>
      <c r="G87" s="8"/>
      <c r="H87" s="45" t="s">
        <v>37</v>
      </c>
      <c r="I87" s="45" t="s">
        <v>38</v>
      </c>
      <c r="J87" s="45" t="s">
        <v>40</v>
      </c>
      <c r="K87" s="45" t="s">
        <v>37</v>
      </c>
      <c r="L87" s="45" t="s">
        <v>38</v>
      </c>
      <c r="M87" s="45" t="s">
        <v>40</v>
      </c>
    </row>
    <row r="88" spans="2:13" x14ac:dyDescent="0.25">
      <c r="B88" s="69" t="s">
        <v>103</v>
      </c>
      <c r="C88" s="47" t="s">
        <v>104</v>
      </c>
      <c r="D88" s="7"/>
      <c r="E88" s="7"/>
      <c r="F88" s="7"/>
      <c r="G88" s="8"/>
      <c r="H88" s="48"/>
      <c r="I88" s="48"/>
      <c r="J88" s="48">
        <f t="shared" ref="J88:J91" si="22">(SUM(H88:I88))</f>
        <v>0</v>
      </c>
      <c r="K88" s="48"/>
      <c r="L88" s="48"/>
      <c r="M88" s="48">
        <f t="shared" ref="M88:M91" si="23">(SUM(K88:L88))</f>
        <v>0</v>
      </c>
    </row>
    <row r="89" spans="2:13" x14ac:dyDescent="0.25">
      <c r="B89" s="70"/>
      <c r="C89" s="47" t="s">
        <v>105</v>
      </c>
      <c r="D89" s="7"/>
      <c r="E89" s="7"/>
      <c r="F89" s="7"/>
      <c r="G89" s="8"/>
      <c r="H89" s="48"/>
      <c r="I89" s="48"/>
      <c r="J89" s="48">
        <f t="shared" si="22"/>
        <v>0</v>
      </c>
      <c r="K89" s="48"/>
      <c r="L89" s="48"/>
      <c r="M89" s="48">
        <f t="shared" si="23"/>
        <v>0</v>
      </c>
    </row>
    <row r="90" spans="2:13" x14ac:dyDescent="0.25">
      <c r="B90" s="70"/>
      <c r="C90" s="51" t="s">
        <v>106</v>
      </c>
      <c r="D90" s="7"/>
      <c r="E90" s="7"/>
      <c r="F90" s="7"/>
      <c r="G90" s="8"/>
      <c r="H90" s="48"/>
      <c r="I90" s="48"/>
      <c r="J90" s="48">
        <f t="shared" si="22"/>
        <v>0</v>
      </c>
      <c r="K90" s="48"/>
      <c r="L90" s="48"/>
      <c r="M90" s="48">
        <f t="shared" si="23"/>
        <v>0</v>
      </c>
    </row>
    <row r="91" spans="2:13" x14ac:dyDescent="0.25">
      <c r="B91" s="71"/>
      <c r="C91" s="47" t="s">
        <v>107</v>
      </c>
      <c r="D91" s="7"/>
      <c r="E91" s="7"/>
      <c r="F91" s="7"/>
      <c r="G91" s="8"/>
      <c r="H91" s="48"/>
      <c r="I91" s="48"/>
      <c r="J91" s="48">
        <f t="shared" si="22"/>
        <v>0</v>
      </c>
      <c r="K91" s="48"/>
      <c r="L91" s="48"/>
      <c r="M91" s="48">
        <f t="shared" si="23"/>
        <v>0</v>
      </c>
    </row>
    <row r="92" ht="15.75" customHeight="1" spans="2:19" x14ac:dyDescent="0.25">
      <c r="B92" s="5"/>
      <c r="C92" s="5"/>
      <c r="D92" s="5"/>
      <c r="E92" s="5"/>
      <c r="F92" s="5"/>
      <c r="G92" s="5"/>
      <c r="H92" s="51" t="s">
        <v>49</v>
      </c>
      <c r="I92" s="8"/>
      <c r="J92" s="52">
        <f>(SUM(J88:J91))</f>
        <v>0</v>
      </c>
      <c r="K92" s="51" t="s">
        <v>49</v>
      </c>
      <c r="L92" s="8"/>
      <c r="M92" s="52">
        <f>(SUM(M88:M91))</f>
        <v>0</v>
      </c>
      <c r="N92" s="53">
        <f>J92</f>
        <v>0</v>
      </c>
      <c r="O92" s="53">
        <v>8</v>
      </c>
      <c r="P92" s="54">
        <f>N92/O92*100</f>
        <v>0</v>
      </c>
      <c r="Q92" s="53">
        <f>M92</f>
        <v>0</v>
      </c>
      <c r="R92" s="53">
        <v>8</v>
      </c>
      <c r="S92" s="54">
        <f>Q92/R92*100</f>
        <v>0</v>
      </c>
    </row>
    <row r="93" ht="15.75" customHeight="1" spans="2:19" x14ac:dyDescent="0.25">
      <c r="B93" s="5"/>
      <c r="C93" s="5"/>
      <c r="D93" s="5"/>
      <c r="E93" s="5"/>
      <c r="F93" s="29" t="s">
        <v>108</v>
      </c>
      <c r="G93"/>
      <c r="H93"/>
      <c r="I93" s="58" t="s">
        <v>76</v>
      </c>
      <c r="J93" s="59">
        <f>(J63+J69+J74+J80+J86+J92)</f>
        <v>0</v>
      </c>
      <c r="K93" s="5"/>
      <c r="L93" s="58" t="s">
        <v>76</v>
      </c>
      <c r="M93" s="59">
        <f>(M63+M69+M74+M80+M86+M92)</f>
        <v>0</v>
      </c>
      <c r="N93" s="60">
        <f>J93</f>
        <v>0</v>
      </c>
      <c r="O93" s="61">
        <v>48</v>
      </c>
      <c r="P93" s="62">
        <f>N93/O93*100</f>
        <v>0</v>
      </c>
      <c r="Q93" s="60">
        <f>M93</f>
        <v>0</v>
      </c>
      <c r="R93" s="61">
        <v>48</v>
      </c>
      <c r="S93" s="62">
        <f>Q93/R93*100</f>
        <v>0</v>
      </c>
    </row>
  </sheetData>
  <mergeCells count="128">
    <mergeCell ref="B2:D2"/>
    <mergeCell ref="E2:G2"/>
    <mergeCell ref="H2:I2"/>
    <mergeCell ref="B3:J3"/>
    <mergeCell ref="K3:M17"/>
    <mergeCell ref="B4:C4"/>
    <mergeCell ref="D4:F4"/>
    <mergeCell ref="G4:H4"/>
    <mergeCell ref="I4:J4"/>
    <mergeCell ref="B5:C5"/>
    <mergeCell ref="B6:J6"/>
    <mergeCell ref="B7:C7"/>
    <mergeCell ref="I7:J7"/>
    <mergeCell ref="B14:J14"/>
    <mergeCell ref="B15:J15"/>
    <mergeCell ref="B18:G18"/>
    <mergeCell ref="H18:J18"/>
    <mergeCell ref="K18:M18"/>
    <mergeCell ref="N18:P18"/>
    <mergeCell ref="Q18:S18"/>
    <mergeCell ref="C19:G19"/>
    <mergeCell ref="C20:G20"/>
    <mergeCell ref="B20:B23"/>
    <mergeCell ref="C21:G21"/>
    <mergeCell ref="C22:G22"/>
    <mergeCell ref="C23:G23"/>
    <mergeCell ref="B24:F24"/>
    <mergeCell ref="H24:I24"/>
    <mergeCell ref="K24:L24"/>
    <mergeCell ref="C25:G25"/>
    <mergeCell ref="C26:G26"/>
    <mergeCell ref="B26:B29"/>
    <mergeCell ref="C27:G27"/>
    <mergeCell ref="C28:G28"/>
    <mergeCell ref="C29:G29"/>
    <mergeCell ref="B30:F30"/>
    <mergeCell ref="H30:I30"/>
    <mergeCell ref="K30:L30"/>
    <mergeCell ref="C31:G31"/>
    <mergeCell ref="C32:G32"/>
    <mergeCell ref="B32:B36"/>
    <mergeCell ref="C33:G33"/>
    <mergeCell ref="C34:G34"/>
    <mergeCell ref="C35:G35"/>
    <mergeCell ref="C36:G36"/>
    <mergeCell ref="B37:F37"/>
    <mergeCell ref="H37:I37"/>
    <mergeCell ref="K37:L37"/>
    <mergeCell ref="C38:G38"/>
    <mergeCell ref="C39:G39"/>
    <mergeCell ref="B39:B41"/>
    <mergeCell ref="C40:G40"/>
    <mergeCell ref="C41:G41"/>
    <mergeCell ref="B42:F42"/>
    <mergeCell ref="H42:I42"/>
    <mergeCell ref="K42:L42"/>
    <mergeCell ref="C43:G43"/>
    <mergeCell ref="C44:G44"/>
    <mergeCell ref="B44:B47"/>
    <mergeCell ref="C45:G45"/>
    <mergeCell ref="C46:G46"/>
    <mergeCell ref="C47:G47"/>
    <mergeCell ref="B48:F48"/>
    <mergeCell ref="H48:I48"/>
    <mergeCell ref="K48:L48"/>
    <mergeCell ref="C49:G49"/>
    <mergeCell ref="C50:G50"/>
    <mergeCell ref="B50:B53"/>
    <mergeCell ref="C51:G51"/>
    <mergeCell ref="C52:G52"/>
    <mergeCell ref="C53:G53"/>
    <mergeCell ref="H54:I54"/>
    <mergeCell ref="K54:L54"/>
    <mergeCell ref="F55:H55"/>
    <mergeCell ref="B56:G56"/>
    <mergeCell ref="H56:J56"/>
    <mergeCell ref="K56:M56"/>
    <mergeCell ref="C57:G57"/>
    <mergeCell ref="C58:G58"/>
    <mergeCell ref="B58:B62"/>
    <mergeCell ref="C59:G59"/>
    <mergeCell ref="C60:G60"/>
    <mergeCell ref="C61:G61"/>
    <mergeCell ref="C62:G62"/>
    <mergeCell ref="B63:F63"/>
    <mergeCell ref="H63:I63"/>
    <mergeCell ref="K63:L63"/>
    <mergeCell ref="C64:G64"/>
    <mergeCell ref="C65:G65"/>
    <mergeCell ref="B65:B68"/>
    <mergeCell ref="C66:G66"/>
    <mergeCell ref="C67:G67"/>
    <mergeCell ref="C68:G68"/>
    <mergeCell ref="C69:F69"/>
    <mergeCell ref="H69:I69"/>
    <mergeCell ref="K69:L69"/>
    <mergeCell ref="C70:G70"/>
    <mergeCell ref="C71:G71"/>
    <mergeCell ref="B71:B73"/>
    <mergeCell ref="C72:G72"/>
    <mergeCell ref="C73:G73"/>
    <mergeCell ref="H74:I74"/>
    <mergeCell ref="K74:L74"/>
    <mergeCell ref="C75:G75"/>
    <mergeCell ref="C76:G76"/>
    <mergeCell ref="B76:B79"/>
    <mergeCell ref="C77:G77"/>
    <mergeCell ref="C78:G78"/>
    <mergeCell ref="C79:G79"/>
    <mergeCell ref="H80:I80"/>
    <mergeCell ref="K80:L80"/>
    <mergeCell ref="C81:G81"/>
    <mergeCell ref="C82:G82"/>
    <mergeCell ref="B82:B85"/>
    <mergeCell ref="C83:G83"/>
    <mergeCell ref="C84:G84"/>
    <mergeCell ref="C85:G85"/>
    <mergeCell ref="H86:I86"/>
    <mergeCell ref="K86:L86"/>
    <mergeCell ref="C87:G87"/>
    <mergeCell ref="C88:G88"/>
    <mergeCell ref="B88:B91"/>
    <mergeCell ref="C89:G89"/>
    <mergeCell ref="C90:G90"/>
    <mergeCell ref="C91:G91"/>
    <mergeCell ref="H92:I92"/>
    <mergeCell ref="K92:L92"/>
    <mergeCell ref="F93:H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TGMD blanco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Flores Ledezma</dc:creator>
  <cp:lastModifiedBy>Roy Flores Ledezma</cp:lastModifiedBy>
  <dcterms:created xsi:type="dcterms:W3CDTF">2026-10-11T18:55:52Z</dcterms:created>
  <dcterms:modified xsi:type="dcterms:W3CDTF">2026-10-11T18:57:09Z</dcterms:modified>
</cp:coreProperties>
</file>